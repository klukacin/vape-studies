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americanchemicalsociety-my.sharepoint.com/personal/cporath_acs_org/Documents/Desktop/"/>
    </mc:Choice>
  </mc:AlternateContent>
  <xr:revisionPtr revIDLastSave="0" documentId="8_{ED480C71-F807-4A6F-B8DF-A0C15BDECEE2}" xr6:coauthVersionLast="47" xr6:coauthVersionMax="47" xr10:uidLastSave="{00000000-0000-0000-0000-000000000000}"/>
  <bookViews>
    <workbookView xWindow="28680" yWindow="-120" windowWidth="29040" windowHeight="15720" xr2:uid="{2B08C2F4-A148-46AC-B54E-C76C071031AD}"/>
  </bookViews>
  <sheets>
    <sheet name="Table of Contents" sheetId="9" r:id="rId1"/>
    <sheet name="Table S1" sheetId="8" r:id="rId2"/>
    <sheet name="Table S2" sheetId="46" r:id="rId3"/>
    <sheet name="Table S3" sheetId="47" r:id="rId4"/>
    <sheet name="Table S4" sheetId="48" r:id="rId5"/>
    <sheet name="Tables S5" sheetId="29" r:id="rId6"/>
    <sheet name="Table S6" sheetId="50" r:id="rId7"/>
    <sheet name="Table S7" sheetId="38" r:id="rId8"/>
    <sheet name="Table S8" sheetId="51" r:id="rId9"/>
    <sheet name="Table S9" sheetId="45" r:id="rId10"/>
    <sheet name="Table S10" sheetId="42" r:id="rId11"/>
    <sheet name="Table S11" sheetId="36" r:id="rId12"/>
    <sheet name="Table S12" sheetId="34" r:id="rId13"/>
    <sheet name="Table S13" sheetId="2" r:id="rId14"/>
    <sheet name="Table S14" sheetId="52" r:id="rId15"/>
    <sheet name="Table S15" sheetId="41" r:id="rId16"/>
    <sheet name="Table S16" sheetId="13" r:id="rId17"/>
    <sheet name="Table S17" sheetId="27" r:id="rId18"/>
    <sheet name="Table S18" sheetId="28" r:id="rId19"/>
    <sheet name="Table S19" sheetId="39" r:id="rId20"/>
    <sheet name="Table S20" sheetId="25" r:id="rId21"/>
    <sheet name="Table S21" sheetId="26" r:id="rId22"/>
    <sheet name="Table S22" sheetId="22" r:id="rId2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36" i="2" l="1"/>
  <c r="W137" i="2"/>
  <c r="W138" i="2"/>
  <c r="W139" i="2"/>
  <c r="W140" i="2"/>
  <c r="W141" i="2"/>
  <c r="W142" i="2"/>
  <c r="S142" i="2"/>
  <c r="S141" i="2"/>
  <c r="S140" i="2"/>
  <c r="S139" i="2"/>
  <c r="S138" i="2"/>
  <c r="S137" i="2"/>
  <c r="S136" i="2"/>
  <c r="T136" i="2"/>
  <c r="U136" i="2"/>
  <c r="V136" i="2"/>
  <c r="T137" i="2"/>
  <c r="U137" i="2"/>
  <c r="V137" i="2"/>
  <c r="T138" i="2"/>
  <c r="U138" i="2"/>
  <c r="V138" i="2"/>
  <c r="T139" i="2"/>
  <c r="U139" i="2"/>
  <c r="V139" i="2"/>
  <c r="T140" i="2"/>
  <c r="U140" i="2"/>
  <c r="V140" i="2"/>
  <c r="T141" i="2"/>
  <c r="U141" i="2"/>
  <c r="V141" i="2"/>
  <c r="T142" i="2"/>
  <c r="U142" i="2"/>
  <c r="V142" i="2"/>
</calcChain>
</file>

<file path=xl/sharedStrings.xml><?xml version="1.0" encoding="utf-8"?>
<sst xmlns="http://schemas.openxmlformats.org/spreadsheetml/2006/main" count="11229" uniqueCount="1973">
  <si>
    <t>Sample</t>
  </si>
  <si>
    <t>Puffs</t>
  </si>
  <si>
    <t xml:space="preserve">52Cr </t>
  </si>
  <si>
    <t xml:space="preserve">55Mn </t>
  </si>
  <si>
    <t xml:space="preserve">60Ni </t>
  </si>
  <si>
    <t xml:space="preserve">75As </t>
  </si>
  <si>
    <t xml:space="preserve">111Cd </t>
  </si>
  <si>
    <t>Total Pb</t>
  </si>
  <si>
    <t>1 cigarette</t>
  </si>
  <si>
    <t>1 pack (20)</t>
  </si>
  <si>
    <t>1- Esco Bar Clear 100 puffs</t>
  </si>
  <si>
    <t>1- Esco Bar Clear 200 puffs</t>
  </si>
  <si>
    <t>1- Esco Bar Clear 300 puffs</t>
  </si>
  <si>
    <t>1- Esco Bar Clear 400 puffs</t>
  </si>
  <si>
    <t>1- Esco Bar Clear 500 puffs</t>
  </si>
  <si>
    <t>2- Esco Bar Clear 100 puffs</t>
  </si>
  <si>
    <t>2- Esco Bar Clear 200 puffs</t>
  </si>
  <si>
    <t>2- Esco Bar Clear 300 puffs</t>
  </si>
  <si>
    <t>2- Esco Bar Clear 400 puffs</t>
  </si>
  <si>
    <t>2- Esco Bar Clear 500 puffs</t>
  </si>
  <si>
    <t>3- Esco Bar Clear 100 puffs</t>
  </si>
  <si>
    <t>3- Esco Bar Clear 200 puffs</t>
  </si>
  <si>
    <t>3- Esco Bar Clear 300 puffs</t>
  </si>
  <si>
    <t>3- Esco Bar Clear 400 puffs</t>
  </si>
  <si>
    <t>Device</t>
  </si>
  <si>
    <t xml:space="preserve">27Al </t>
  </si>
  <si>
    <t xml:space="preserve">57Fe </t>
  </si>
  <si>
    <t xml:space="preserve">63Cu </t>
  </si>
  <si>
    <t xml:space="preserve">66Zn </t>
  </si>
  <si>
    <t>77Se</t>
  </si>
  <si>
    <t xml:space="preserve">118Sn </t>
  </si>
  <si>
    <t xml:space="preserve">121Sb </t>
  </si>
  <si>
    <t>137Ba</t>
  </si>
  <si>
    <t>209Bi</t>
  </si>
  <si>
    <t xml:space="preserve">238U </t>
  </si>
  <si>
    <t>Elf Bar Flavored</t>
  </si>
  <si>
    <t>&lt; LOD</t>
  </si>
  <si>
    <t>0.1 ± 0.0</t>
  </si>
  <si>
    <t>0.3 ± 0.0</t>
  </si>
  <si>
    <t>&lt; LOQ</t>
  </si>
  <si>
    <t>ELF Bar Clear</t>
  </si>
  <si>
    <t>0.1 ± 0.1</t>
  </si>
  <si>
    <t>0.4 ± 0.0</t>
  </si>
  <si>
    <t>ELF Bar Flavored 0% Nicotine</t>
  </si>
  <si>
    <t>0.2 ± 0.0</t>
  </si>
  <si>
    <t>3.3 ± 0.2</t>
  </si>
  <si>
    <t>6.9 ± 0.1</t>
  </si>
  <si>
    <t>0.6 ± 0.0</t>
  </si>
  <si>
    <t>0.0 ± 0.0</t>
  </si>
  <si>
    <t>Esco Bar Flavored</t>
  </si>
  <si>
    <t>Esco Bar Clear</t>
  </si>
  <si>
    <t>Esco Bar 6000</t>
  </si>
  <si>
    <t>0.7 ± 0.0</t>
  </si>
  <si>
    <t>1.8 ± 0.0</t>
  </si>
  <si>
    <t>5.0 ± 0.4</t>
  </si>
  <si>
    <t xml:space="preserve">206Pb </t>
  </si>
  <si>
    <t xml:space="preserve">207Pb </t>
  </si>
  <si>
    <t xml:space="preserve">208Pb </t>
  </si>
  <si>
    <t>5.94 ± 3.20</t>
  </si>
  <si>
    <t>153.05 ± 126.98</t>
  </si>
  <si>
    <t>11.85 ± 9.82</t>
  </si>
  <si>
    <t>139.25 ± 98.51</t>
  </si>
  <si>
    <t>1.61 ± 0.18</t>
  </si>
  <si>
    <t>0.00 ± 0.00</t>
  </si>
  <si>
    <t>0.00 ± 0.04</t>
  </si>
  <si>
    <t>0.31 ± 0.13</t>
  </si>
  <si>
    <t>0.00 ± 0.02</t>
  </si>
  <si>
    <t>7.37 ± 5.33</t>
  </si>
  <si>
    <t>40.02 ± 38.78</t>
  </si>
  <si>
    <t>281.04 ± 180.81</t>
  </si>
  <si>
    <t>272.11 ± 166.33</t>
  </si>
  <si>
    <t>1.85 ± 0.10</t>
  </si>
  <si>
    <t>0.56 ± 0.10</t>
  </si>
  <si>
    <t>0.01 ± 0.02</t>
  </si>
  <si>
    <t>1.57 ± 0.40</t>
  </si>
  <si>
    <t>86.81 ± 54.25</t>
  </si>
  <si>
    <t>524.32 ± 299.13</t>
  </si>
  <si>
    <t>6.07 ± 3.24</t>
  </si>
  <si>
    <t>472.00 ± 351.89</t>
  </si>
  <si>
    <t>1.80 ± 0.20</t>
  </si>
  <si>
    <t>0.03 ± 0.06</t>
  </si>
  <si>
    <t>0.59 ± 0.16</t>
  </si>
  <si>
    <t>3.81 ± 1.44</t>
  </si>
  <si>
    <t>136.71 ± 84.20</t>
  </si>
  <si>
    <t>769.43 ± 398.93</t>
  </si>
  <si>
    <t>5.58 ± 4.55</t>
  </si>
  <si>
    <t>445.69 ± 202.88</t>
  </si>
  <si>
    <t>2.18 ± 0.25</t>
  </si>
  <si>
    <t>0.55 ± 0.22</t>
  </si>
  <si>
    <t>0.03 ± 0.04</t>
  </si>
  <si>
    <t>0.02 ± 0.01</t>
  </si>
  <si>
    <t>3.04 ± 2.39</t>
  </si>
  <si>
    <t>173.81 ± 87.85</t>
  </si>
  <si>
    <t>946.85 ± 431.61</t>
  </si>
  <si>
    <t>12.02 ± 13.95</t>
  </si>
  <si>
    <t>601.80 ± 246.66</t>
  </si>
  <si>
    <t>2.27 ± 0.42</t>
  </si>
  <si>
    <t>0.02 ± 0.02</t>
  </si>
  <si>
    <t>0.69 ± 0.24</t>
  </si>
  <si>
    <t>0.03 ± 0.02</t>
  </si>
  <si>
    <t>6.81 ± 3.28</t>
  </si>
  <si>
    <t>62.93 ± 51.45</t>
  </si>
  <si>
    <t>189.16 ± 110.97</t>
  </si>
  <si>
    <t>5.38 ± 1.62</t>
  </si>
  <si>
    <t>1.37 ± 0.60</t>
  </si>
  <si>
    <t>122.42 ± 125.34</t>
  </si>
  <si>
    <t>303.84 ± 184.50</t>
  </si>
  <si>
    <t>5.58 ± 2.20</t>
  </si>
  <si>
    <t>0.41 ± 0.67</t>
  </si>
  <si>
    <t>2.43 ± 1.13</t>
  </si>
  <si>
    <t>0.13 ± 0.12</t>
  </si>
  <si>
    <t>0.01 ± 0.01</t>
  </si>
  <si>
    <t>134.14 ± 151.13</t>
  </si>
  <si>
    <t>326.53 ± 86.56</t>
  </si>
  <si>
    <t>38.86 ± 38.02</t>
  </si>
  <si>
    <t>49.10 ± 7.09</t>
  </si>
  <si>
    <t>5.48 ± 1.11</t>
  </si>
  <si>
    <t>2.17 ± 0.57</t>
  </si>
  <si>
    <t>0.00 ± 0.01</t>
  </si>
  <si>
    <t>10.56 ± 8.38</t>
  </si>
  <si>
    <t>93.57 ± 36.85</t>
  </si>
  <si>
    <t>357.87 ± 208.23</t>
  </si>
  <si>
    <t>55.32 ± 46.91</t>
  </si>
  <si>
    <t>5.98 ± 2.25</t>
  </si>
  <si>
    <t>2.19 ± 1.15</t>
  </si>
  <si>
    <t>0.04 ± 0.06</t>
  </si>
  <si>
    <t>147.64 ± 61.39</t>
  </si>
  <si>
    <t>465.16 ± 313.46</t>
  </si>
  <si>
    <t>16.20 ± 19.76</t>
  </si>
  <si>
    <t>79.85 ± 31.49</t>
  </si>
  <si>
    <t>5.82 ± 1.43</t>
  </si>
  <si>
    <t>0.05 ± 0.02</t>
  </si>
  <si>
    <t>2.82 ± 0.93</t>
  </si>
  <si>
    <t>0.03 ± 0.00</t>
  </si>
  <si>
    <t>0.02 ± 0.03</t>
  </si>
  <si>
    <t>0.08 ± 0.06</t>
  </si>
  <si>
    <t>0.04 ± 0.01</t>
  </si>
  <si>
    <t>0.08 ± 0.05</t>
  </si>
  <si>
    <t>0.05 ± 0.01</t>
  </si>
  <si>
    <t>13.40 ± 10.28</t>
  </si>
  <si>
    <t>33.02 ± 6.55</t>
  </si>
  <si>
    <t>22.34 ± 19.62</t>
  </si>
  <si>
    <t>67.27 ± 40.15</t>
  </si>
  <si>
    <t>0.09 ± 0.06</t>
  </si>
  <si>
    <t>16.58 ± 9.59</t>
  </si>
  <si>
    <t>208.00 ± 84.84</t>
  </si>
  <si>
    <t>0.06 ± 0.06</t>
  </si>
  <si>
    <t>7.93 ± 7.18</t>
  </si>
  <si>
    <t>49.93 ± 12.28</t>
  </si>
  <si>
    <t>82.96 ± 15.55</t>
  </si>
  <si>
    <t>9.28 ± 3.85</t>
  </si>
  <si>
    <t>36.06 ± 24.28</t>
  </si>
  <si>
    <t>0.07 ± 0.05</t>
  </si>
  <si>
    <t>5.03 ± 3.43</t>
  </si>
  <si>
    <t>287.72 ± 185.65</t>
  </si>
  <si>
    <t>0.13 ± 0.22</t>
  </si>
  <si>
    <t>2.96 ± 0.95</t>
  </si>
  <si>
    <t>92.57 ± 48.17</t>
  </si>
  <si>
    <t>147.64 ± 58.93</t>
  </si>
  <si>
    <t>0.35 ± 0.26</t>
  </si>
  <si>
    <t>21.17 ± 21.85</t>
  </si>
  <si>
    <t>305.34 ± 221.34</t>
  </si>
  <si>
    <t>0.39 ± 0.59</t>
  </si>
  <si>
    <t>123.12 ± 28.31</t>
  </si>
  <si>
    <t>174.02 ± 38.03</t>
  </si>
  <si>
    <t>15.20 ± 3.01</t>
  </si>
  <si>
    <t>56.44 ± 43.96</t>
  </si>
  <si>
    <t>28.62 ± 23.45</t>
  </si>
  <si>
    <t>320.24 ± 157.20</t>
  </si>
  <si>
    <t>0.07 ± 0.07</t>
  </si>
  <si>
    <t>0.02 ± 0.00</t>
  </si>
  <si>
    <t>4.60 ± 1.16</t>
  </si>
  <si>
    <t>143.56 ± 18.48</t>
  </si>
  <si>
    <t>210.52 ± 28.36</t>
  </si>
  <si>
    <t>30.01 ± 22.88</t>
  </si>
  <si>
    <t>56.69 ± 40.81</t>
  </si>
  <si>
    <t>0.07 ± 0.06</t>
  </si>
  <si>
    <t>352.25 ± 175.32</t>
  </si>
  <si>
    <t>0.11 ± 0.10</t>
  </si>
  <si>
    <t>9.75 ± 10.06</t>
  </si>
  <si>
    <t>12.32 ± 2.83</t>
  </si>
  <si>
    <t>87.37 ± 38.95</t>
  </si>
  <si>
    <t>0.46 ± 0.28</t>
  </si>
  <si>
    <t>13.59 ± 15.90</t>
  </si>
  <si>
    <t>245.26 ± 127.88</t>
  </si>
  <si>
    <t>0.41 ± 0.65</t>
  </si>
  <si>
    <t>0.01 ± 0.00</t>
  </si>
  <si>
    <t>20.42 ± 8.65</t>
  </si>
  <si>
    <t>36.86 ± 15.12</t>
  </si>
  <si>
    <t>66.47 ± 81.54</t>
  </si>
  <si>
    <t>105.70 ± 92.95</t>
  </si>
  <si>
    <t>0.30 ± 0.21</t>
  </si>
  <si>
    <t>7.65 ± 8.05</t>
  </si>
  <si>
    <t>318.56 ± 111.52</t>
  </si>
  <si>
    <t>0.05 ± 0.05</t>
  </si>
  <si>
    <t>25.23 ± 29.26</t>
  </si>
  <si>
    <t>34.04 ± 22.31</t>
  </si>
  <si>
    <t>55.75 ± 24.50</t>
  </si>
  <si>
    <t>0.41 ± 0.09</t>
  </si>
  <si>
    <t>12.14 ± 7.31</t>
  </si>
  <si>
    <t>369.67 ± 104.78</t>
  </si>
  <si>
    <t>0.16 ± 0.21</t>
  </si>
  <si>
    <t>22.58 ± 15.38</t>
  </si>
  <si>
    <t>51.52 ± 27.72</t>
  </si>
  <si>
    <t>0.40 ± 0.28</t>
  </si>
  <si>
    <t>362.41 ± 59.64</t>
  </si>
  <si>
    <t>0.32 ± 0.48</t>
  </si>
  <si>
    <t>30.06 ± 14.21</t>
  </si>
  <si>
    <t>67.69 ± 29.01</t>
  </si>
  <si>
    <t>53.88 ± 40.56</t>
  </si>
  <si>
    <t>132.27 ± 52.53</t>
  </si>
  <si>
    <t>0.38 ± 0.27</t>
  </si>
  <si>
    <t>403.46 ± 117.10</t>
  </si>
  <si>
    <t>0.12 ± 0.11</t>
  </si>
  <si>
    <t>0.12 ± 0.10</t>
  </si>
  <si>
    <t>0.01 ± 0.04</t>
  </si>
  <si>
    <t>0.08 ± 0.08</t>
  </si>
  <si>
    <t>0.05 ± 0.03</t>
  </si>
  <si>
    <t>0.04 ± 0.03</t>
  </si>
  <si>
    <t>0.03 ± 0.03</t>
  </si>
  <si>
    <t>0.09 ± 0.08</t>
  </si>
  <si>
    <t>0.10 ± 0.05</t>
  </si>
  <si>
    <t>0.06 ± 0.03</t>
  </si>
  <si>
    <t>225.74 ± 17.95</t>
  </si>
  <si>
    <t>1083.43 ± 132.02</t>
  </si>
  <si>
    <t>21.57 ± 12.18</t>
  </si>
  <si>
    <t>103.72 ± 48.17</t>
  </si>
  <si>
    <t>1.40 ± 0.52</t>
  </si>
  <si>
    <t>9.50 ± 5.79</t>
  </si>
  <si>
    <t>39.79 ± 62.70</t>
  </si>
  <si>
    <t>11.47 ± 4.98</t>
  </si>
  <si>
    <t>177.73 ± 64.03</t>
  </si>
  <si>
    <t>991.01 ± 316.30</t>
  </si>
  <si>
    <t>26.98 ± 17.80</t>
  </si>
  <si>
    <t>169.90 ± 37.72</t>
  </si>
  <si>
    <t>1.48 ± 0.58</t>
  </si>
  <si>
    <t>62.16 ± 100.53</t>
  </si>
  <si>
    <t>0.16 ± 0.18</t>
  </si>
  <si>
    <t>159.28 ± 29.55</t>
  </si>
  <si>
    <t>986.13 ± 149.37</t>
  </si>
  <si>
    <t>46.03 ± 47.63</t>
  </si>
  <si>
    <t>322.43 ± 176.08</t>
  </si>
  <si>
    <t>1.45 ± 0.52</t>
  </si>
  <si>
    <t>6.98 ± 4.49</t>
  </si>
  <si>
    <t>93.39 ± 154.54</t>
  </si>
  <si>
    <t>0.10 ± 0.09</t>
  </si>
  <si>
    <t>16.53 ± 12.65</t>
  </si>
  <si>
    <t>40.79 ± 7.96</t>
  </si>
  <si>
    <t>27.66 ± 24.39</t>
  </si>
  <si>
    <t>83.18 ± 49.76</t>
  </si>
  <si>
    <t>1.05 ± 0.18</t>
  </si>
  <si>
    <t>0.11 ± 0.08</t>
  </si>
  <si>
    <t>20.51 ± 11.93</t>
  </si>
  <si>
    <t>256.92 ± 104.45</t>
  </si>
  <si>
    <t>9.82 ± 8.92</t>
  </si>
  <si>
    <t>60.38 ± 14.31</t>
  </si>
  <si>
    <t>100.28 ± 17.45</t>
  </si>
  <si>
    <t>11.24 ± 4.70</t>
  </si>
  <si>
    <t>44.03 ± 30.32</t>
  </si>
  <si>
    <t>1.56 ± 0.72</t>
  </si>
  <si>
    <t>0.08 ± 0.07</t>
  </si>
  <si>
    <t>6.14 ± 4.30</t>
  </si>
  <si>
    <t>346.04 ± 217.34</t>
  </si>
  <si>
    <t>0.17 ± 0.28</t>
  </si>
  <si>
    <t>3.60 ± 1.22</t>
  </si>
  <si>
    <t>109.26 ± 55.38</t>
  </si>
  <si>
    <t>174.34 ± 66.98</t>
  </si>
  <si>
    <t>1.57 ± 0.35</t>
  </si>
  <si>
    <t>0.42 ± 0.31</t>
  </si>
  <si>
    <t>25.17 ± 25.95</t>
  </si>
  <si>
    <t>359.47 ± 255.35</t>
  </si>
  <si>
    <t>0.46 ± 0.71</t>
  </si>
  <si>
    <t>145.10 ± 33.10</t>
  </si>
  <si>
    <t>205.10 ± 44.50</t>
  </si>
  <si>
    <t>17.90 ± 3.47</t>
  </si>
  <si>
    <t>66.58 ± 51.80</t>
  </si>
  <si>
    <t>1.41 ± 0.36</t>
  </si>
  <si>
    <t>0.10 ± 0.07</t>
  </si>
  <si>
    <t>33.78 ± 27.65</t>
  </si>
  <si>
    <t>377.03 ± 183.43</t>
  </si>
  <si>
    <t>5.42 ± 1.35</t>
  </si>
  <si>
    <t>173.55 ± 20.63</t>
  </si>
  <si>
    <t>254.55 ± 32.46</t>
  </si>
  <si>
    <t>36.05 ± 27.02</t>
  </si>
  <si>
    <t>69.06 ± 50.57</t>
  </si>
  <si>
    <t>1.55 ± 0.37</t>
  </si>
  <si>
    <t>13.84 ± 10.61</t>
  </si>
  <si>
    <t>424.90 ± 207.67</t>
  </si>
  <si>
    <t>0.14 ± 0.13</t>
  </si>
  <si>
    <t>11.67 ± 11.94</t>
  </si>
  <si>
    <t>14.75 ± 3.52</t>
  </si>
  <si>
    <t>104.29 ± 46.39</t>
  </si>
  <si>
    <t>1.87 ± 0.38</t>
  </si>
  <si>
    <t>0.56 ± 0.34</t>
  </si>
  <si>
    <t>16.33 ± 19.06</t>
  </si>
  <si>
    <t>294.75 ± 155.75</t>
  </si>
  <si>
    <t>0.50 ± 0.78</t>
  </si>
  <si>
    <t>24.46 ± 11.00</t>
  </si>
  <si>
    <t>43.33 ± 16.89</t>
  </si>
  <si>
    <t>76.45 ± 91.65</t>
  </si>
  <si>
    <t>122.89 ± 104.05</t>
  </si>
  <si>
    <t>1.51 ± 0.19</t>
  </si>
  <si>
    <t>0.35 ± 0.24</t>
  </si>
  <si>
    <t>9.23 ± 9.92</t>
  </si>
  <si>
    <t>375.54 ± 127.31</t>
  </si>
  <si>
    <t>29.13 ± 32.97</t>
  </si>
  <si>
    <t>38.31 ± 23.57</t>
  </si>
  <si>
    <t>64.24 ± 30.73</t>
  </si>
  <si>
    <t>1.96 ± 0.62</t>
  </si>
  <si>
    <t>0.47 ± 0.11</t>
  </si>
  <si>
    <t>14.17 ± 8.81</t>
  </si>
  <si>
    <t>423.89 ± 131.25</t>
  </si>
  <si>
    <t>0.19 ± 0.25</t>
  </si>
  <si>
    <t>25.40 ± 15.73</t>
  </si>
  <si>
    <t>59.41 ± 24.18</t>
  </si>
  <si>
    <t>1.77 ± 0.36</t>
  </si>
  <si>
    <t>0.46 ± 0.27</t>
  </si>
  <si>
    <t>441.92 ± 83.30</t>
  </si>
  <si>
    <t>0.34 ± 0.51</t>
  </si>
  <si>
    <t>33.50 ± 14.36</t>
  </si>
  <si>
    <t>75.83 ± 28.94</t>
  </si>
  <si>
    <t>59.24 ± 43.64</t>
  </si>
  <si>
    <t>147.81 ± 51.41</t>
  </si>
  <si>
    <t>1.91 ± 0.63</t>
  </si>
  <si>
    <t>0.42 ± 0.29</t>
  </si>
  <si>
    <t>18.01 ± 25.01</t>
  </si>
  <si>
    <t>457.21 ± 119.77</t>
  </si>
  <si>
    <t>2144.43 ± 1207.55</t>
  </si>
  <si>
    <t>7538.94 ± 2764.64</t>
  </si>
  <si>
    <t>23109.47 ± 9842.52</t>
  </si>
  <si>
    <t>3.52 ± 0.28</t>
  </si>
  <si>
    <t>1.63 ± 0.44</t>
  </si>
  <si>
    <t>324.20 ± 107.91</t>
  </si>
  <si>
    <t>166.10 ± 87.81</t>
  </si>
  <si>
    <t>117.29 ± 83.00</t>
  </si>
  <si>
    <t>5777.30 ± 2391.00</t>
  </si>
  <si>
    <t>3837.82 ± 4424.92</t>
  </si>
  <si>
    <t>8597.81 ± 1122.70</t>
  </si>
  <si>
    <t>29609.48 ± 4241.23</t>
  </si>
  <si>
    <t>4.62 ± 0.70</t>
  </si>
  <si>
    <t>2.26 ± 1.34</t>
  </si>
  <si>
    <t>405.58 ± 193.62</t>
  </si>
  <si>
    <t>315.04 ± 181.16</t>
  </si>
  <si>
    <t>110.61 ± 78.88</t>
  </si>
  <si>
    <t>7791.05 ± 1978.18</t>
  </si>
  <si>
    <t>73.29 ± 26.61</t>
  </si>
  <si>
    <t>1963.39 ± 1927.65</t>
  </si>
  <si>
    <t>6566.94 ± 697.34</t>
  </si>
  <si>
    <t>20115.15 ± 2692.78</t>
  </si>
  <si>
    <t>5.27 ± 1.24</t>
  </si>
  <si>
    <t>1.41 ± 0.54</t>
  </si>
  <si>
    <t>234.17 ± 92.80</t>
  </si>
  <si>
    <t>286.43 ± 165.04</t>
  </si>
  <si>
    <t>73.53 ± 75.69</t>
  </si>
  <si>
    <t>4346.11 ± 751.06</t>
  </si>
  <si>
    <t>28.68 ± 19.83</t>
  </si>
  <si>
    <t>694.26 ± 506.14</t>
  </si>
  <si>
    <t>2790.61 ± 1488.63</t>
  </si>
  <si>
    <t>9712.25 ± 3265.62</t>
  </si>
  <si>
    <t>5.25 ± 0.90</t>
  </si>
  <si>
    <t>0.71 ± 0.11</t>
  </si>
  <si>
    <t>88.60 ± 57.33</t>
  </si>
  <si>
    <t>224.10 ± 134.31</t>
  </si>
  <si>
    <t>34.10 ± 37.86</t>
  </si>
  <si>
    <t>2256.13 ± 457.16</t>
  </si>
  <si>
    <t>401.26 ± 333.98</t>
  </si>
  <si>
    <t>1257.44 ± 892.66</t>
  </si>
  <si>
    <t>2946.66 ± 1352.83</t>
  </si>
  <si>
    <t>4.67 ± 1.92</t>
  </si>
  <si>
    <t>0.39 ± 0.15</t>
  </si>
  <si>
    <t>166.10 ± 105.52</t>
  </si>
  <si>
    <t>19.98 ± 26.74</t>
  </si>
  <si>
    <t>1358.55 ± 549.38</t>
  </si>
  <si>
    <t>1409.36 ± 683.80</t>
  </si>
  <si>
    <t>19014.66 ± 3228.42</t>
  </si>
  <si>
    <t>43015.23 ± 11479.77</t>
  </si>
  <si>
    <t>5.00 ± 0.16</t>
  </si>
  <si>
    <t>8.46 ± 3.66</t>
  </si>
  <si>
    <t>831.43 ± 503.35</t>
  </si>
  <si>
    <t>119.34 ± 29.31</t>
  </si>
  <si>
    <t>218.66 ± 74.84</t>
  </si>
  <si>
    <t>25669.71 ± 22745.88</t>
  </si>
  <si>
    <t>791.77 ± 800.05</t>
  </si>
  <si>
    <t>11580.82 ± 10877.68</t>
  </si>
  <si>
    <t>69673.13 ± 17430.47</t>
  </si>
  <si>
    <t>6.76 ± 0.74</t>
  </si>
  <si>
    <t>22.40 ± 12.29</t>
  </si>
  <si>
    <t>826.89 ± 142.17</t>
  </si>
  <si>
    <t>176.12 ± 10.32</t>
  </si>
  <si>
    <t>528.81 ± 346.71</t>
  </si>
  <si>
    <t>35853.22 ± 12061.99</t>
  </si>
  <si>
    <t>466.15 ± 265.46</t>
  </si>
  <si>
    <t>6217.80 ± 4574.85</t>
  </si>
  <si>
    <t>46396.01 ± 20108.80</t>
  </si>
  <si>
    <t>8.49 ± 1.13</t>
  </si>
  <si>
    <t>19.11 ± 8.45</t>
  </si>
  <si>
    <t>646.56 ± 270.84</t>
  </si>
  <si>
    <t>162.50 ± 4.11</t>
  </si>
  <si>
    <t>332.85 ± 221.35</t>
  </si>
  <si>
    <t>28623.96 ± 17997.68</t>
  </si>
  <si>
    <t>303.74 ± 278.97</t>
  </si>
  <si>
    <t>1616.38 ± 402.39</t>
  </si>
  <si>
    <t>17424.23 ± 13579.61</t>
  </si>
  <si>
    <t>6.72 ± 0.67</t>
  </si>
  <si>
    <t>14.23 ± 8.95</t>
  </si>
  <si>
    <t>389.95 ± 496.41</t>
  </si>
  <si>
    <t>124.56 ± 40.78</t>
  </si>
  <si>
    <t>185.89 ± 129.13</t>
  </si>
  <si>
    <t>15419.38 ± 10940.93</t>
  </si>
  <si>
    <t>Wire Coil</t>
  </si>
  <si>
    <t>Elf Bar Clear</t>
  </si>
  <si>
    <t>Elf Bar 0% Nicotine</t>
  </si>
  <si>
    <t>Flum Pebble Flavored</t>
  </si>
  <si>
    <t>Mesh Coil</t>
  </si>
  <si>
    <t>Flum Pebble Clear</t>
  </si>
  <si>
    <t>Mesh Support</t>
  </si>
  <si>
    <t>Sheath</t>
  </si>
  <si>
    <t>Battery Connector, Top</t>
  </si>
  <si>
    <t>Chip Solder, Bottom</t>
  </si>
  <si>
    <t>Chip Solder, Top</t>
  </si>
  <si>
    <t>42.4 ± 4.6</t>
  </si>
  <si>
    <t>0.9 ± 0.1</t>
  </si>
  <si>
    <t>2.0 ± 0.1</t>
  </si>
  <si>
    <t>54.3 ± 7.5</t>
  </si>
  <si>
    <t>0.5 ± 0.1</t>
  </si>
  <si>
    <t>24.3 ± 3.5</t>
  </si>
  <si>
    <t>74.7 ± 9.6</t>
  </si>
  <si>
    <t>0.8 ± 0.1</t>
  </si>
  <si>
    <t>42.0 ± 3.4</t>
  </si>
  <si>
    <t>0.5 ± 0.0</t>
  </si>
  <si>
    <t>56.7 ± 3.7</t>
  </si>
  <si>
    <t>24.2 ± 0.4</t>
  </si>
  <si>
    <t>52.9 ± 0.3</t>
  </si>
  <si>
    <t>10.3 ± 0.4</t>
  </si>
  <si>
    <t>3.0 ± 0.1</t>
  </si>
  <si>
    <t>0.2 ± 0.1</t>
  </si>
  <si>
    <t>24.5 ± 0.7</t>
  </si>
  <si>
    <t>52.9 ± 1.6</t>
  </si>
  <si>
    <t>0.8 ± 0.0</t>
  </si>
  <si>
    <t>10.3 ± 0.3</t>
  </si>
  <si>
    <t>6.3 ± 0.2</t>
  </si>
  <si>
    <t>24.2 ± 2.3</t>
  </si>
  <si>
    <t>75.0 ± 5.1</t>
  </si>
  <si>
    <t>15.8 ± 1.9</t>
  </si>
  <si>
    <t>83.4 ± 9.7</t>
  </si>
  <si>
    <t>99.6 ± 3.0</t>
  </si>
  <si>
    <t>99.5 ± 2.2</t>
  </si>
  <si>
    <t>99.1 ± 3.4</t>
  </si>
  <si>
    <t>99.8 ± 2.4</t>
  </si>
  <si>
    <t>24.3 ± 1.7</t>
  </si>
  <si>
    <t>1.8 ± 0.1</t>
  </si>
  <si>
    <t>52.6 ± 3.2</t>
  </si>
  <si>
    <t>10.3 ± 0.6</t>
  </si>
  <si>
    <t>7.0 ± 0.4</t>
  </si>
  <si>
    <t>2.1 ± 0.9</t>
  </si>
  <si>
    <t>97.5 ± 3.7</t>
  </si>
  <si>
    <t>15.7 ± 0.6</t>
  </si>
  <si>
    <t>83.4 ± 3.4</t>
  </si>
  <si>
    <t>20.5 ± 0.4</t>
  </si>
  <si>
    <t>1.4 ± 0.0</t>
  </si>
  <si>
    <t>72.7 ± 2.3</t>
  </si>
  <si>
    <t>4.3 ± 0.1</t>
  </si>
  <si>
    <t>20.4 ± 1.0</t>
  </si>
  <si>
    <t>1.3 ± 0.1</t>
  </si>
  <si>
    <t>73.0 ± 3.8</t>
  </si>
  <si>
    <t>4.4 ± 0.2</t>
  </si>
  <si>
    <t>18.7 ± 0.8</t>
  </si>
  <si>
    <t>1.7 ± 0.1</t>
  </si>
  <si>
    <t>69.6 ± 3.7</t>
  </si>
  <si>
    <t>5.3 ± 0.2</t>
  </si>
  <si>
    <t>3.5 ± 0.2</t>
  </si>
  <si>
    <t>19.1 ± 0.9</t>
  </si>
  <si>
    <t>69.4 ± 2.2</t>
  </si>
  <si>
    <t>5.2 ± 0.2</t>
  </si>
  <si>
    <t>6.5 ± 0.8</t>
  </si>
  <si>
    <t>43.7 ± 1.4</t>
  </si>
  <si>
    <t>9.1 ± 0.2</t>
  </si>
  <si>
    <t>1.2 ± 0.1</t>
  </si>
  <si>
    <t>98.5 ± 14.1</t>
  </si>
  <si>
    <t>0.9 ± 0.6</t>
  </si>
  <si>
    <t>4.5 ± 1.4</t>
  </si>
  <si>
    <t>57.5 ± 12.6</t>
  </si>
  <si>
    <t>14.0 ± 3.6</t>
  </si>
  <si>
    <t>0.7 ± 0.2</t>
  </si>
  <si>
    <t>98.4 ± 10.4</t>
  </si>
  <si>
    <t>1.3 ± 0.2</t>
  </si>
  <si>
    <t>98.2 ± 14.3</t>
  </si>
  <si>
    <t>38.8 ± 3.2</t>
  </si>
  <si>
    <t>1.0 ± 0.1</t>
  </si>
  <si>
    <t>18.9 ± 4.1</t>
  </si>
  <si>
    <t>3.2 ± 1.1</t>
  </si>
  <si>
    <t>Table of Contents</t>
  </si>
  <si>
    <t>Watermelon Ice</t>
  </si>
  <si>
    <t>Median</t>
  </si>
  <si>
    <t>Mean</t>
  </si>
  <si>
    <t>ELF Bar 0% Nicotine</t>
  </si>
  <si>
    <t>Straw Mango</t>
  </si>
  <si>
    <t>Cancer Risk</t>
  </si>
  <si>
    <t xml:space="preserve">Ni </t>
  </si>
  <si>
    <t xml:space="preserve">Sb </t>
  </si>
  <si>
    <t>Ba</t>
  </si>
  <si>
    <t>SD</t>
  </si>
  <si>
    <t xml:space="preserve">Cu </t>
  </si>
  <si>
    <t xml:space="preserve">As </t>
  </si>
  <si>
    <t xml:space="preserve">Cd </t>
  </si>
  <si>
    <t xml:space="preserve">Sn </t>
  </si>
  <si>
    <t>Quartz Wool Blank 1</t>
  </si>
  <si>
    <t>Quartz Wool Blank 2</t>
  </si>
  <si>
    <t>Quartz Wool Blank 3</t>
  </si>
  <si>
    <t>Quartz + e-Liquid Blk 1</t>
  </si>
  <si>
    <t>Quartz + e-Liquid Blk 2</t>
  </si>
  <si>
    <t>Quartz + e-Liquid Blk 3</t>
  </si>
  <si>
    <t xml:space="preserve"> </t>
  </si>
  <si>
    <t>Post-Filter Residual Aerosol</t>
  </si>
  <si>
    <t>Recovery %</t>
  </si>
  <si>
    <t>Median Recovery %</t>
  </si>
  <si>
    <t>ELF Bar Flavored</t>
  </si>
  <si>
    <t>Parameter</t>
  </si>
  <si>
    <t>QW Blank (No Air Draw)</t>
  </si>
  <si>
    <t>QW Air Blank 1</t>
  </si>
  <si>
    <t>QW Air Blank 2</t>
  </si>
  <si>
    <t>QW Air Blank 3</t>
  </si>
  <si>
    <t>QW Air Blank 4</t>
  </si>
  <si>
    <t>QW Air Blank 5</t>
  </si>
  <si>
    <t>QW Air Blank 6</t>
  </si>
  <si>
    <t>Range</t>
  </si>
  <si>
    <t>Flavor</t>
  </si>
  <si>
    <t>Virgin e-liquid pH ± SD</t>
  </si>
  <si>
    <t>e-Liquid Density (g/mL) ± SD</t>
  </si>
  <si>
    <t>Nicotine per Device (mg)</t>
  </si>
  <si>
    <t>Mean Nicotine per Puff (mg/puff)</t>
  </si>
  <si>
    <t>Puff Count per 1 Pack of Cigarettes</t>
  </si>
  <si>
    <t>4.45 ± 0.06</t>
  </si>
  <si>
    <t>1.13 ± 0.00</t>
  </si>
  <si>
    <t>7.72 ± 0.99</t>
  </si>
  <si>
    <t>4.41 ± 0.15</t>
  </si>
  <si>
    <t>7.59 ± 0.67</t>
  </si>
  <si>
    <t>4.36 ± 0.07</t>
  </si>
  <si>
    <t>1.13 ± 0.01</t>
  </si>
  <si>
    <t>8.22 ± 0.79</t>
  </si>
  <si>
    <t>4.50 ± 0.20</t>
  </si>
  <si>
    <t>8.31 ± 0.07</t>
  </si>
  <si>
    <t>4.68 ± 0.04</t>
  </si>
  <si>
    <t>1.11 ± 0.00</t>
  </si>
  <si>
    <t>8.54 ± 0.69</t>
  </si>
  <si>
    <t>4.52 ± 0.06</t>
  </si>
  <si>
    <t>1.14 ± 0.01</t>
  </si>
  <si>
    <t>5.95 ± 1.38</t>
  </si>
  <si>
    <t>4.50 ± 0.04</t>
  </si>
  <si>
    <t>1.12 ± 0.00</t>
  </si>
  <si>
    <t>4.10 ± 2.67</t>
  </si>
  <si>
    <t>Mobile Phase</t>
  </si>
  <si>
    <t xml:space="preserve">Esco Bar Clear </t>
  </si>
  <si>
    <t>ELF Bar</t>
  </si>
  <si>
    <t xml:space="preserve">Esco Bar </t>
  </si>
  <si>
    <t xml:space="preserve">Al </t>
  </si>
  <si>
    <t xml:space="preserve">Cr </t>
  </si>
  <si>
    <t xml:space="preserve">Mn </t>
  </si>
  <si>
    <t xml:space="preserve">Fe </t>
  </si>
  <si>
    <t xml:space="preserve">Zn </t>
  </si>
  <si>
    <t>Se</t>
  </si>
  <si>
    <t>Bi</t>
  </si>
  <si>
    <t xml:space="preserve">U </t>
  </si>
  <si>
    <t>Total Pb = 206Pb + 207Pb + 208Pb.</t>
  </si>
  <si>
    <t>100-500</t>
  </si>
  <si>
    <t>Max</t>
  </si>
  <si>
    <t>Min</t>
  </si>
  <si>
    <r>
      <t>Sample (</t>
    </r>
    <r>
      <rPr>
        <b/>
        <i/>
        <sz val="10"/>
        <color rgb="FF000000"/>
        <rFont val="Arial"/>
        <family val="2"/>
      </rPr>
      <t>n</t>
    </r>
    <r>
      <rPr>
        <b/>
        <sz val="10"/>
        <color rgb="FF000000"/>
        <rFont val="Arial"/>
        <family val="2"/>
      </rPr>
      <t xml:space="preserve"> = 3)</t>
    </r>
  </si>
  <si>
    <t>443.29 ± 231.32</t>
  </si>
  <si>
    <t>2674.70 ± 1085.61</t>
  </si>
  <si>
    <t>1930.85 ± 914.56</t>
  </si>
  <si>
    <t>9.72 ± 0.47</t>
  </si>
  <si>
    <t>2.70 ± 0.77</t>
  </si>
  <si>
    <t>22.61 ± 8.26</t>
  </si>
  <si>
    <t>560.69 ± 417.96</t>
  </si>
  <si>
    <t>1642.57 ± 798.81</t>
  </si>
  <si>
    <t>28.23 ± 8.34</t>
  </si>
  <si>
    <t>10.98 ± 3.68</t>
  </si>
  <si>
    <t>731.79 ± 86.97</t>
  </si>
  <si>
    <t>3710.95 ± 702.61</t>
  </si>
  <si>
    <t>264.68 ± 258.85</t>
  </si>
  <si>
    <t>783.47 ± 185.44</t>
  </si>
  <si>
    <t>3.44 ± 3.45</t>
  </si>
  <si>
    <t>203.74 ± 329.15</t>
  </si>
  <si>
    <t>422.59 ± 111.17</t>
  </si>
  <si>
    <t>648.18 ± 139.44</t>
  </si>
  <si>
    <t>705.34 ± 1052.30</t>
  </si>
  <si>
    <t>738.32 ± 948.96</t>
  </si>
  <si>
    <t>1473.56 ± 823.01</t>
  </si>
  <si>
    <t>0.77 ± 0.75</t>
  </si>
  <si>
    <t>0.06 ± 0.04</t>
  </si>
  <si>
    <t>274.66 ± 420.91</t>
  </si>
  <si>
    <t>119.42 ± 28.60</t>
  </si>
  <si>
    <t>299.18 ± 41.01</t>
  </si>
  <si>
    <t>1261.44 ± 934.46</t>
  </si>
  <si>
    <t>3269.17 ± 3864.93</t>
  </si>
  <si>
    <t>1.96 ± 0.75</t>
  </si>
  <si>
    <t>1699.36 ± 450.17</t>
  </si>
  <si>
    <t>0.05 ± 0.00</t>
  </si>
  <si>
    <t>ELF Bar Flavored vs Clear</t>
  </si>
  <si>
    <t>ELF Bar 5% Nicotine vs 0% Nicotine</t>
  </si>
  <si>
    <t>Pb</t>
  </si>
  <si>
    <t>0.013 - 7.926</t>
  </si>
  <si>
    <t>0.001 - 0.012</t>
  </si>
  <si>
    <t>0.001 - 0.059</t>
  </si>
  <si>
    <t>0.014 - 0.254</t>
  </si>
  <si>
    <t>0.001 - 0.008</t>
  </si>
  <si>
    <t>0.001 - 0.006</t>
  </si>
  <si>
    <t>0.003 - 0.086</t>
  </si>
  <si>
    <t>0.016 - 0.078</t>
  </si>
  <si>
    <t>0.000 - 0.000</t>
  </si>
  <si>
    <t>0.001 - 0.021</t>
  </si>
  <si>
    <t>0.000 - 0.001</t>
  </si>
  <si>
    <t>0.000 - 0.002</t>
  </si>
  <si>
    <t>0.043 - 26.421</t>
  </si>
  <si>
    <t>0.002 - 0.039</t>
  </si>
  <si>
    <t>0.004 - 0.196</t>
  </si>
  <si>
    <t>0.046 - 0.846</t>
  </si>
  <si>
    <t>0.003 - 0.026</t>
  </si>
  <si>
    <t>0.002 - 0.019</t>
  </si>
  <si>
    <t>0.010 - 0.286</t>
  </si>
  <si>
    <t>0.002 - 0.020</t>
  </si>
  <si>
    <t>0.055 - 0.259</t>
  </si>
  <si>
    <t>0.002 - 0.070</t>
  </si>
  <si>
    <t>Quartz + e-Liquid Blank 1</t>
  </si>
  <si>
    <t>Quartz + e-Liquid Spike 1</t>
  </si>
  <si>
    <t>Quartz + e-Liquid Blank 2</t>
  </si>
  <si>
    <t>Quartz + e-Liquid Blank 3</t>
  </si>
  <si>
    <t>Quartz + e-Liquid Spike 2</t>
  </si>
  <si>
    <t>Quartz + e-Liquid Spike 3</t>
  </si>
  <si>
    <t>T-test, two tailed, two sample unequal variance. α = p &lt; 0.05. Values with p &lt; 0.05 are bolded to indicate significant differences.</t>
  </si>
  <si>
    <r>
      <t>Sample (</t>
    </r>
    <r>
      <rPr>
        <b/>
        <i/>
        <sz val="10"/>
        <color theme="1"/>
        <rFont val="Arial"/>
        <family val="2"/>
      </rPr>
      <t xml:space="preserve">n </t>
    </r>
    <r>
      <rPr>
        <b/>
        <sz val="10"/>
        <color theme="1"/>
        <rFont val="Arial"/>
        <family val="2"/>
      </rPr>
      <t>= 3)</t>
    </r>
  </si>
  <si>
    <t>Puff Count per 1 Cigarette</t>
  </si>
  <si>
    <t xml:space="preserve">e-Liquid </t>
  </si>
  <si>
    <t>Sample Type</t>
  </si>
  <si>
    <t>Aged e-Liquid</t>
  </si>
  <si>
    <t>500 puff Aerosol</t>
  </si>
  <si>
    <r>
      <t>R</t>
    </r>
    <r>
      <rPr>
        <vertAlign val="superscript"/>
        <sz val="10"/>
        <color theme="1"/>
        <rFont val="Arial"/>
        <family val="2"/>
      </rPr>
      <t>2</t>
    </r>
  </si>
  <si>
    <t xml:space="preserve">2% Nicotine Salt (Organic Acid 1) </t>
  </si>
  <si>
    <t xml:space="preserve">2% Nicotine Salt (Organic Acid 2) </t>
  </si>
  <si>
    <t xml:space="preserve">2% Nicotine Salt (Organic Acid 3) </t>
  </si>
  <si>
    <t xml:space="preserve">2% Nicotine Salt (Organic Acid 4) </t>
  </si>
  <si>
    <t xml:space="preserve">2% Nicotine Salt (Organic Acid 5) </t>
  </si>
  <si>
    <t>Mean Recovery %</t>
  </si>
  <si>
    <t>SD %</t>
  </si>
  <si>
    <t>S1</t>
  </si>
  <si>
    <t>S2</t>
  </si>
  <si>
    <t>S3</t>
  </si>
  <si>
    <t>S4</t>
  </si>
  <si>
    <t>S5</t>
  </si>
  <si>
    <t>S6</t>
  </si>
  <si>
    <t>S7</t>
  </si>
  <si>
    <t>S8</t>
  </si>
  <si>
    <t>S9</t>
  </si>
  <si>
    <t>S10</t>
  </si>
  <si>
    <t>S11</t>
  </si>
  <si>
    <t>S12</t>
  </si>
  <si>
    <t>S13</t>
  </si>
  <si>
    <t>S14</t>
  </si>
  <si>
    <t>S15</t>
  </si>
  <si>
    <t>S16</t>
  </si>
  <si>
    <t>S17</t>
  </si>
  <si>
    <t>S18</t>
  </si>
  <si>
    <t>S19</t>
  </si>
  <si>
    <t>S20</t>
  </si>
  <si>
    <t>S21</t>
  </si>
  <si>
    <t>Validation Data</t>
  </si>
  <si>
    <t>LOD/LOQ Data</t>
  </si>
  <si>
    <t>Post-filter Residual Aerosol Analysis Data</t>
  </si>
  <si>
    <t>Air Blank Analysis Data</t>
  </si>
  <si>
    <t>e-Liquid Properties &amp; Nicotine Contents</t>
  </si>
  <si>
    <t>e-Liquid Aging and Flavoring Statistical Analysis</t>
  </si>
  <si>
    <t>As</t>
  </si>
  <si>
    <t>Cd</t>
  </si>
  <si>
    <t>e-Liquid Element Concentrations (µg/kg)</t>
  </si>
  <si>
    <t>Aerosol Samples Element Concentrations (µg/kg)</t>
  </si>
  <si>
    <t>Aerosol Samples Element Mass per Puff (ng/puff)</t>
  </si>
  <si>
    <t>Aerosol Samples Element Masses (ng)</t>
  </si>
  <si>
    <r>
      <t>Aerosol Samples Element Concentrations (mg/m</t>
    </r>
    <r>
      <rPr>
        <vertAlign val="superscript"/>
        <sz val="10"/>
        <color theme="1"/>
        <rFont val="Arial"/>
        <family val="2"/>
      </rPr>
      <t>3</t>
    </r>
    <r>
      <rPr>
        <sz val="10"/>
        <color theme="1"/>
        <rFont val="Arial"/>
        <family val="2"/>
      </rPr>
      <t>)</t>
    </r>
  </si>
  <si>
    <t>Aged e-Liquid &amp; 500-puff Aerosol Comparisons (µg/kg)</t>
  </si>
  <si>
    <t>Cumulative Element Masses (ng)</t>
  </si>
  <si>
    <t>Linearity Statistical Analysis (100 - 500 puffs)</t>
  </si>
  <si>
    <t>Laser Ablation Data</t>
  </si>
  <si>
    <r>
      <t>pH, density, and aerosol mass per puff quanitated in triplicate (</t>
    </r>
    <r>
      <rPr>
        <i/>
        <sz val="10"/>
        <color theme="1"/>
        <rFont val="Arial"/>
        <family val="2"/>
      </rPr>
      <t>n</t>
    </r>
    <r>
      <rPr>
        <sz val="10"/>
        <color theme="1"/>
        <rFont val="Arial"/>
        <family val="2"/>
      </rPr>
      <t xml:space="preserve"> = 3). Mean puffs per cigarette across all devices = 5 ± 2. Mean puffs per pack of cigarettes across all devices = 106 ± 32.</t>
    </r>
  </si>
  <si>
    <t xml:space="preserve">Values in bold indicate quartz wool-collected aerosol with concentrations greater than 20 µg/kg. </t>
  </si>
  <si>
    <t xml:space="preserve">T-test, two tailed, two sample unequal variance. α = p &lt; 0.05. Values with p &lt; 0.05 are bolded to indicate significant differences.  </t>
  </si>
  <si>
    <t xml:space="preserve">T-test, two tailed, two sample unequal variance. α = p &lt; 0.05. Values with p &lt; 0.05 are bolded to indicate significant differences. </t>
  </si>
  <si>
    <t>Bolded values indicate health risk; HQ &gt; 1 = Health Risk</t>
  </si>
  <si>
    <t>Samples</t>
  </si>
  <si>
    <t>Description</t>
  </si>
  <si>
    <t xml:space="preserve">Table Number </t>
  </si>
  <si>
    <t>Packs of Cigarettes Equivalent***</t>
  </si>
  <si>
    <t>All Devices</t>
  </si>
  <si>
    <t>Equipment/Settings</t>
  </si>
  <si>
    <t>Q-ICP-MS</t>
  </si>
  <si>
    <t>Instrument</t>
  </si>
  <si>
    <t>Flum Pebble Flavored vs Clear</t>
  </si>
  <si>
    <t>RF Power</t>
  </si>
  <si>
    <t>Peristaltic Pump Speed</t>
  </si>
  <si>
    <t>Sampling Cone</t>
  </si>
  <si>
    <t>Skimmer Cone</t>
  </si>
  <si>
    <t>Collision Cell Gas Flow Rate</t>
  </si>
  <si>
    <t>Sweeps</t>
  </si>
  <si>
    <t>Runs</t>
  </si>
  <si>
    <t>Wash Time</t>
  </si>
  <si>
    <t>60 seconds</t>
  </si>
  <si>
    <t>Uptake Time</t>
  </si>
  <si>
    <t>Nebulizer</t>
  </si>
  <si>
    <t>Nebulizer Flow Rate</t>
  </si>
  <si>
    <t>Spray Chamber</t>
  </si>
  <si>
    <t xml:space="preserve">Collision Cell Gas </t>
  </si>
  <si>
    <t>Ultra High Purity Helium</t>
  </si>
  <si>
    <t>40 rpm</t>
  </si>
  <si>
    <t>1550 W</t>
  </si>
  <si>
    <t>Peristaltic Pump Lines</t>
  </si>
  <si>
    <t>Dwell Time per Isotope (seconds)</t>
  </si>
  <si>
    <r>
      <t xml:space="preserve">0.2 : </t>
    </r>
    <r>
      <rPr>
        <vertAlign val="superscript"/>
        <sz val="10"/>
        <color theme="1"/>
        <rFont val="Arial"/>
        <family val="2"/>
      </rPr>
      <t>66</t>
    </r>
    <r>
      <rPr>
        <sz val="10"/>
        <color theme="1"/>
        <rFont val="Arial"/>
        <family val="2"/>
      </rPr>
      <t xml:space="preserve">Zn, </t>
    </r>
    <r>
      <rPr>
        <vertAlign val="superscript"/>
        <sz val="10"/>
        <color theme="1"/>
        <rFont val="Arial"/>
        <family val="2"/>
      </rPr>
      <t>75</t>
    </r>
    <r>
      <rPr>
        <sz val="10"/>
        <color theme="1"/>
        <rFont val="Arial"/>
        <family val="2"/>
      </rPr>
      <t xml:space="preserve">As, </t>
    </r>
    <r>
      <rPr>
        <vertAlign val="superscript"/>
        <sz val="10"/>
        <color theme="1"/>
        <rFont val="Arial"/>
        <family val="2"/>
      </rPr>
      <t>77</t>
    </r>
    <r>
      <rPr>
        <sz val="10"/>
        <color theme="1"/>
        <rFont val="Arial"/>
        <family val="2"/>
      </rPr>
      <t xml:space="preserve">Se, </t>
    </r>
    <r>
      <rPr>
        <vertAlign val="superscript"/>
        <sz val="10"/>
        <color theme="1"/>
        <rFont val="Arial"/>
        <family val="2"/>
      </rPr>
      <t>121</t>
    </r>
    <r>
      <rPr>
        <sz val="10"/>
        <color theme="1"/>
        <rFont val="Arial"/>
        <family val="2"/>
      </rPr>
      <t xml:space="preserve">Sb, </t>
    </r>
    <r>
      <rPr>
        <vertAlign val="superscript"/>
        <sz val="10"/>
        <color theme="1"/>
        <rFont val="Arial"/>
        <family val="2"/>
      </rPr>
      <t>111</t>
    </r>
    <r>
      <rPr>
        <sz val="10"/>
        <color theme="1"/>
        <rFont val="Arial"/>
        <family val="2"/>
      </rPr>
      <t>Cd</t>
    </r>
  </si>
  <si>
    <r>
      <t xml:space="preserve">0.05 : </t>
    </r>
    <r>
      <rPr>
        <vertAlign val="superscript"/>
        <sz val="10"/>
        <color theme="1"/>
        <rFont val="Arial"/>
        <family val="2"/>
      </rPr>
      <t>27</t>
    </r>
    <r>
      <rPr>
        <sz val="10"/>
        <color theme="1"/>
        <rFont val="Arial"/>
        <family val="2"/>
      </rPr>
      <t xml:space="preserve">Al , </t>
    </r>
    <r>
      <rPr>
        <vertAlign val="superscript"/>
        <sz val="10"/>
        <color theme="1"/>
        <rFont val="Arial"/>
        <family val="2"/>
      </rPr>
      <t>45</t>
    </r>
    <r>
      <rPr>
        <sz val="10"/>
        <color theme="1"/>
        <rFont val="Arial"/>
        <family val="2"/>
      </rPr>
      <t xml:space="preserve">Sc, </t>
    </r>
    <r>
      <rPr>
        <vertAlign val="superscript"/>
        <sz val="10"/>
        <color theme="1"/>
        <rFont val="Arial"/>
        <family val="2"/>
      </rPr>
      <t>52</t>
    </r>
    <r>
      <rPr>
        <sz val="10"/>
        <color theme="1"/>
        <rFont val="Arial"/>
        <family val="2"/>
      </rPr>
      <t xml:space="preserve">Cr, </t>
    </r>
    <r>
      <rPr>
        <vertAlign val="superscript"/>
        <sz val="10"/>
        <color theme="1"/>
        <rFont val="Arial"/>
        <family val="2"/>
      </rPr>
      <t>55</t>
    </r>
    <r>
      <rPr>
        <sz val="10"/>
        <color theme="1"/>
        <rFont val="Arial"/>
        <family val="2"/>
      </rPr>
      <t>Mn,</t>
    </r>
    <r>
      <rPr>
        <vertAlign val="superscript"/>
        <sz val="10"/>
        <color theme="1"/>
        <rFont val="Arial"/>
        <family val="2"/>
      </rPr>
      <t xml:space="preserve"> 57</t>
    </r>
    <r>
      <rPr>
        <sz val="10"/>
        <color theme="1"/>
        <rFont val="Arial"/>
        <family val="2"/>
      </rPr>
      <t xml:space="preserve">Fe, </t>
    </r>
    <r>
      <rPr>
        <vertAlign val="superscript"/>
        <sz val="10"/>
        <color theme="1"/>
        <rFont val="Arial"/>
        <family val="2"/>
      </rPr>
      <t>60</t>
    </r>
    <r>
      <rPr>
        <sz val="10"/>
        <color theme="1"/>
        <rFont val="Arial"/>
        <family val="2"/>
      </rPr>
      <t xml:space="preserve">Ni, </t>
    </r>
    <r>
      <rPr>
        <vertAlign val="superscript"/>
        <sz val="10"/>
        <color theme="1"/>
        <rFont val="Arial"/>
        <family val="2"/>
      </rPr>
      <t>63</t>
    </r>
    <r>
      <rPr>
        <sz val="10"/>
        <color theme="1"/>
        <rFont val="Arial"/>
        <family val="2"/>
      </rPr>
      <t xml:space="preserve">Cu, </t>
    </r>
    <r>
      <rPr>
        <vertAlign val="superscript"/>
        <sz val="10"/>
        <color theme="1"/>
        <rFont val="Arial"/>
        <family val="2"/>
      </rPr>
      <t>89</t>
    </r>
    <r>
      <rPr>
        <sz val="10"/>
        <color theme="1"/>
        <rFont val="Arial"/>
        <family val="2"/>
      </rPr>
      <t xml:space="preserve">Y, </t>
    </r>
    <r>
      <rPr>
        <vertAlign val="superscript"/>
        <sz val="10"/>
        <color theme="1"/>
        <rFont val="Arial"/>
        <family val="2"/>
      </rPr>
      <t>118</t>
    </r>
    <r>
      <rPr>
        <sz val="10"/>
        <color theme="1"/>
        <rFont val="Arial"/>
        <family val="2"/>
      </rPr>
      <t xml:space="preserve">Sn, </t>
    </r>
    <r>
      <rPr>
        <vertAlign val="superscript"/>
        <sz val="10"/>
        <color theme="1"/>
        <rFont val="Arial"/>
        <family val="2"/>
      </rPr>
      <t>137</t>
    </r>
    <r>
      <rPr>
        <sz val="10"/>
        <color theme="1"/>
        <rFont val="Arial"/>
        <family val="2"/>
      </rPr>
      <t xml:space="preserve">Ba, </t>
    </r>
    <r>
      <rPr>
        <vertAlign val="superscript"/>
        <sz val="10"/>
        <color theme="1"/>
        <rFont val="Arial"/>
        <family val="2"/>
      </rPr>
      <t>159</t>
    </r>
    <r>
      <rPr>
        <sz val="10"/>
        <color theme="1"/>
        <rFont val="Arial"/>
        <family val="2"/>
      </rPr>
      <t xml:space="preserve">Tb, </t>
    </r>
    <r>
      <rPr>
        <vertAlign val="superscript"/>
        <sz val="10"/>
        <color theme="1"/>
        <rFont val="Arial"/>
        <family val="2"/>
      </rPr>
      <t>206</t>
    </r>
    <r>
      <rPr>
        <sz val="10"/>
        <color theme="1"/>
        <rFont val="Arial"/>
        <family val="2"/>
      </rPr>
      <t xml:space="preserve">Pb, </t>
    </r>
    <r>
      <rPr>
        <vertAlign val="superscript"/>
        <sz val="10"/>
        <color theme="1"/>
        <rFont val="Arial"/>
        <family val="2"/>
      </rPr>
      <t>207</t>
    </r>
    <r>
      <rPr>
        <sz val="10"/>
        <color theme="1"/>
        <rFont val="Arial"/>
        <family val="2"/>
      </rPr>
      <t xml:space="preserve">Pb, </t>
    </r>
    <r>
      <rPr>
        <vertAlign val="superscript"/>
        <sz val="10"/>
        <color theme="1"/>
        <rFont val="Arial"/>
        <family val="2"/>
      </rPr>
      <t>208</t>
    </r>
    <r>
      <rPr>
        <sz val="10"/>
        <color theme="1"/>
        <rFont val="Arial"/>
        <family val="2"/>
      </rPr>
      <t xml:space="preserve">Pb, </t>
    </r>
    <r>
      <rPr>
        <vertAlign val="superscript"/>
        <sz val="10"/>
        <color theme="1"/>
        <rFont val="Arial"/>
        <family val="2"/>
      </rPr>
      <t>209</t>
    </r>
    <r>
      <rPr>
        <sz val="10"/>
        <color theme="1"/>
        <rFont val="Arial"/>
        <family val="2"/>
      </rPr>
      <t xml:space="preserve">Bi, </t>
    </r>
    <r>
      <rPr>
        <vertAlign val="superscript"/>
        <sz val="10"/>
        <color theme="1"/>
        <rFont val="Arial"/>
        <family val="2"/>
      </rPr>
      <t>238</t>
    </r>
    <r>
      <rPr>
        <sz val="10"/>
        <color theme="1"/>
        <rFont val="Arial"/>
        <family val="2"/>
      </rPr>
      <t xml:space="preserve">U </t>
    </r>
  </si>
  <si>
    <t>LA-ICP-MS</t>
  </si>
  <si>
    <t xml:space="preserve">ENDS analyzed in triplicate. Bolded values indicate 100 puff element mass &gt; element mass per cigarette. </t>
  </si>
  <si>
    <t xml:space="preserve">Total Pb = 206Pb + 207Pb + 208Pb. </t>
  </si>
  <si>
    <t xml:space="preserve">Flum Pebble </t>
  </si>
  <si>
    <t>1.53 ± 1.27</t>
  </si>
  <si>
    <t>1.39 ± 0.99</t>
  </si>
  <si>
    <t>0.40 ± 0.39</t>
  </si>
  <si>
    <t>2.81 ± 1.81</t>
  </si>
  <si>
    <t>2.72 ± 1.66</t>
  </si>
  <si>
    <t>0.87 ± 0.54</t>
  </si>
  <si>
    <t>5.24 ± 2.99</t>
  </si>
  <si>
    <t>4.72 ± 3.52</t>
  </si>
  <si>
    <t>1.37 ± 0.84</t>
  </si>
  <si>
    <t>0.03 ± 0.01</t>
  </si>
  <si>
    <t>7.69 ± 3.99</t>
  </si>
  <si>
    <t>0.06 ± 0.05</t>
  </si>
  <si>
    <t>4.46 ± 2.03</t>
  </si>
  <si>
    <t>1.74 ± 0.88</t>
  </si>
  <si>
    <t>9.47 ± 4.32</t>
  </si>
  <si>
    <t>0.12 ± 0.14</t>
  </si>
  <si>
    <t>6.02 ± 2.47</t>
  </si>
  <si>
    <t>0.63 ± 0.51</t>
  </si>
  <si>
    <t>1.89 ± 1.11</t>
  </si>
  <si>
    <t>1.22 ± 1.25</t>
  </si>
  <si>
    <t>3.04 ± 1.85</t>
  </si>
  <si>
    <t>0.06 ± 0.02</t>
  </si>
  <si>
    <t>1.34 ± 1.51</t>
  </si>
  <si>
    <t>3.27 ± 0.87</t>
  </si>
  <si>
    <t>0.39 ± 0.38</t>
  </si>
  <si>
    <t>0.49 ± 0.07</t>
  </si>
  <si>
    <t>0.94 ± 0.37</t>
  </si>
  <si>
    <t>3.58 ± 2.08</t>
  </si>
  <si>
    <t>0.55 ± 0.47</t>
  </si>
  <si>
    <t>1.48 ± 0.61</t>
  </si>
  <si>
    <t>4.65 ± 3.13</t>
  </si>
  <si>
    <t>0.16 ± 0.20</t>
  </si>
  <si>
    <t>0.80 ± 0.31</t>
  </si>
  <si>
    <t>0.06 ± 0.01</t>
  </si>
  <si>
    <t>0.94 ± 0.39</t>
  </si>
  <si>
    <t>4.06 ± 1.90</t>
  </si>
  <si>
    <t>0.41 ± 0.34</t>
  </si>
  <si>
    <t>0.29 ± 0.47</t>
  </si>
  <si>
    <t>1.72 ± 1.15</t>
  </si>
  <si>
    <t>8.04 ± 5.07</t>
  </si>
  <si>
    <t>0.15 ± 0.04</t>
  </si>
  <si>
    <t>1.02 ± 0.51</t>
  </si>
  <si>
    <t>0.37 ± 0.60</t>
  </si>
  <si>
    <t>1.96 ± 0.17</t>
  </si>
  <si>
    <t>9.42 ± 1.24</t>
  </si>
  <si>
    <t>0.19 ± 0.10</t>
  </si>
  <si>
    <t>0.90 ± 0.40</t>
  </si>
  <si>
    <t>0.07 ± 0.03</t>
  </si>
  <si>
    <t>0.36 ± 0.57</t>
  </si>
  <si>
    <t>1.42 ± 0.66</t>
  </si>
  <si>
    <t>7.82 ± 3.31</t>
  </si>
  <si>
    <t>0.22 ± 0.16</t>
  </si>
  <si>
    <t>1.30 ± 0.22</t>
  </si>
  <si>
    <t>1.28 ± 0.40</t>
  </si>
  <si>
    <t>7.77 ± 1.58</t>
  </si>
  <si>
    <t>0.37 ± 0.41</t>
  </si>
  <si>
    <t>2.41 ± 0.97</t>
  </si>
  <si>
    <t>0.62 ± 1.01</t>
  </si>
  <si>
    <t>0.13 ± 0.10</t>
  </si>
  <si>
    <t>0.33 ± 0.07</t>
  </si>
  <si>
    <t>0.22 ± 0.20</t>
  </si>
  <si>
    <t>0.67 ± 0.40</t>
  </si>
  <si>
    <t>0.17 ± 0.10</t>
  </si>
  <si>
    <t>2.08 ± 0.85</t>
  </si>
  <si>
    <t>0.50 ± 0.12</t>
  </si>
  <si>
    <t>0.09 ± 0.03</t>
  </si>
  <si>
    <t>0.83 ± 0.16</t>
  </si>
  <si>
    <t>0.09 ± 0.04</t>
  </si>
  <si>
    <t>0.36 ± 0.24</t>
  </si>
  <si>
    <t>2.88 ± 1.86</t>
  </si>
  <si>
    <t>0.93 ± 0.48</t>
  </si>
  <si>
    <t>0.11 ± 0.03</t>
  </si>
  <si>
    <t>1.48 ± 0.59</t>
  </si>
  <si>
    <t>0.21 ± 0.22</t>
  </si>
  <si>
    <t>3.05 ± 2.21</t>
  </si>
  <si>
    <t>1.23 ± 0.28</t>
  </si>
  <si>
    <t>1.74 ± 0.38</t>
  </si>
  <si>
    <t>0.15 ± 0.03</t>
  </si>
  <si>
    <t>0.56 ± 0.44</t>
  </si>
  <si>
    <t>0.29 ± 0.23</t>
  </si>
  <si>
    <t>3.20 ± 1.57</t>
  </si>
  <si>
    <t>1.44 ± 0.18</t>
  </si>
  <si>
    <t>2.11 ± 0.28</t>
  </si>
  <si>
    <t>0.30 ± 0.23</t>
  </si>
  <si>
    <t>0.57 ± 0.41</t>
  </si>
  <si>
    <t>0.11 ± 0.09</t>
  </si>
  <si>
    <t>3.52 ± 1.75</t>
  </si>
  <si>
    <t>0.12 ± 0.03</t>
  </si>
  <si>
    <t>0.87 ± 0.39</t>
  </si>
  <si>
    <t>0.14 ± 0.16</t>
  </si>
  <si>
    <t>2.45 ± 1.28</t>
  </si>
  <si>
    <t>0.20 ± 0.09</t>
  </si>
  <si>
    <t>0.37 ± 0.15</t>
  </si>
  <si>
    <t>0.66 ± 0.82</t>
  </si>
  <si>
    <t>1.06 ± 0.93</t>
  </si>
  <si>
    <t>3.19 ± 1.12</t>
  </si>
  <si>
    <t>0.34 ± 0.22</t>
  </si>
  <si>
    <t>0.56 ± 0.25</t>
  </si>
  <si>
    <t>0.12 ± 0.07</t>
  </si>
  <si>
    <t>3.70 ± 1.05</t>
  </si>
  <si>
    <t>0.23 ± 0.15</t>
  </si>
  <si>
    <t>0.52 ± 0.28</t>
  </si>
  <si>
    <t>3.62 ± 0.60</t>
  </si>
  <si>
    <t>0.30 ± 0.14</t>
  </si>
  <si>
    <t>0.68 ± 0.29</t>
  </si>
  <si>
    <t>0.54 ± 0.41</t>
  </si>
  <si>
    <t>1.32 ± 0.53</t>
  </si>
  <si>
    <t>0.16 ± 0.23</t>
  </si>
  <si>
    <t>4.03 ± 1.17</t>
  </si>
  <si>
    <t>0.06 ± 0.08</t>
  </si>
  <si>
    <t>0.14 ± 0.10</t>
  </si>
  <si>
    <t>0.07 ± 0.01</t>
  </si>
  <si>
    <t>0.04 ± 0.02</t>
  </si>
  <si>
    <t>0.10 ± 0.10</t>
  </si>
  <si>
    <t>0.25 ± 0.29</t>
  </si>
  <si>
    <t>***Assumes 30 mg of nicotine per pack of cigarettes (1 cigarette = 1.5 mg nicotine, 20 cigarettes per pack).</t>
  </si>
  <si>
    <t>Q1</t>
  </si>
  <si>
    <t>Q3</t>
  </si>
  <si>
    <t>93.58 ± 39.35</t>
  </si>
  <si>
    <t>405.92 ± 189.55</t>
  </si>
  <si>
    <t>40.64 ± 33.89</t>
  </si>
  <si>
    <t>28.59 ± 46.87</t>
  </si>
  <si>
    <t>0.12 ± 0.13</t>
  </si>
  <si>
    <t>172.12 ± 114.88</t>
  </si>
  <si>
    <t>803.60 ± 507.48</t>
  </si>
  <si>
    <t>14.57 ± 4.44</t>
  </si>
  <si>
    <t>101.52 ± 51.37</t>
  </si>
  <si>
    <t>7.32 ± 6.14</t>
  </si>
  <si>
    <t>36.77 ± 60.19</t>
  </si>
  <si>
    <t>4.16 ± 1.89</t>
  </si>
  <si>
    <t>196.18 ± 16.87</t>
  </si>
  <si>
    <t>942.04 ± 123.68</t>
  </si>
  <si>
    <t>18.51 ± 10.17</t>
  </si>
  <si>
    <t>89.56 ± 40.00</t>
  </si>
  <si>
    <t>1.21 ± 0.42</t>
  </si>
  <si>
    <t>0.03 ± 0.05</t>
  </si>
  <si>
    <t>8.18 ± 4.86</t>
  </si>
  <si>
    <t>35.80 ± 56.70</t>
  </si>
  <si>
    <t>10.06 ± 4.72</t>
  </si>
  <si>
    <t>141.79 ± 65.73</t>
  </si>
  <si>
    <t>782.48 ± 331.40</t>
  </si>
  <si>
    <t>22.16 ± 15.60</t>
  </si>
  <si>
    <t>129.53 ± 21.84</t>
  </si>
  <si>
    <t>1.19 ± 0.57</t>
  </si>
  <si>
    <t>40.84 ± 64.73</t>
  </si>
  <si>
    <t>0.13 ± 0.16</t>
  </si>
  <si>
    <t>128.13 ± 40.48</t>
  </si>
  <si>
    <t>776.91 ± 157.68</t>
  </si>
  <si>
    <t>37.13 ± 41.13</t>
  </si>
  <si>
    <t>241.40 ± 96.85</t>
  </si>
  <si>
    <t>1.18 ± 0.56</t>
  </si>
  <si>
    <t>5.87 ± 4.07</t>
  </si>
  <si>
    <t>61.74 ± 100.67</t>
  </si>
  <si>
    <t>Device Type</t>
  </si>
  <si>
    <t>n</t>
  </si>
  <si>
    <t>Cr</t>
  </si>
  <si>
    <t>Fe</t>
  </si>
  <si>
    <t>Ni</t>
  </si>
  <si>
    <t>Sb</t>
  </si>
  <si>
    <t>3rd Gen MOD</t>
  </si>
  <si>
    <t>4th Gen JUUL</t>
  </si>
  <si>
    <t>4th Gen dPOD</t>
  </si>
  <si>
    <t xml:space="preserve">Esco Bar Flavored </t>
  </si>
  <si>
    <t>11.84 ± 0.87</t>
  </si>
  <si>
    <t>400.37 ± 29.18</t>
  </si>
  <si>
    <t>25.30 ± 2.43</t>
  </si>
  <si>
    <t>4416.79 ± 213.49</t>
  </si>
  <si>
    <t>7.83 ± 0.21</t>
  </si>
  <si>
    <t>0.10 ± 0.02</t>
  </si>
  <si>
    <t>8.10 ± 0.31</t>
  </si>
  <si>
    <t>5.40 ± 0.11</t>
  </si>
  <si>
    <t>0.26 ± 0.01</t>
  </si>
  <si>
    <t>14.93 ± 8.82</t>
  </si>
  <si>
    <t>208.21 ± 14.59</t>
  </si>
  <si>
    <t>28.85 ± 3.54</t>
  </si>
  <si>
    <t>331.23 ± 16.92</t>
  </si>
  <si>
    <t>11.99 ± 0.82</t>
  </si>
  <si>
    <t>48.88 ± 1.53</t>
  </si>
  <si>
    <t>12.85 ± 1.39</t>
  </si>
  <si>
    <t>0.35 ± 0.01</t>
  </si>
  <si>
    <t>8.41 ± 1.75</t>
  </si>
  <si>
    <t>265.54 ± 47.52</t>
  </si>
  <si>
    <t>24.46 ± 10.75</t>
  </si>
  <si>
    <t>302.89 ± 2.80</t>
  </si>
  <si>
    <t>1.82 ± 0.16</t>
  </si>
  <si>
    <t>5.88 ± 0.36</t>
  </si>
  <si>
    <t>8.58 ± 0.86</t>
  </si>
  <si>
    <t>0.18 ± 0.01</t>
  </si>
  <si>
    <t>13.46 ± 10.39</t>
  </si>
  <si>
    <t>67.85 ± 7.41</t>
  </si>
  <si>
    <t>0.23 ± 0.01</t>
  </si>
  <si>
    <t>6.88 ± 0.09</t>
  </si>
  <si>
    <t>0.11 ± 0.01</t>
  </si>
  <si>
    <t>17.99 ± 7.58</t>
  </si>
  <si>
    <t>6.53 ± 3.35</t>
  </si>
  <si>
    <t>139.01 ± 34.13</t>
  </si>
  <si>
    <t>5.73 ± 0.23</t>
  </si>
  <si>
    <t>107.12 ± 21.41</t>
  </si>
  <si>
    <t>10.16 ± 0.99</t>
  </si>
  <si>
    <t>26.98 ± 1.56</t>
  </si>
  <si>
    <t>458.75 ± 129.68</t>
  </si>
  <si>
    <t>38397.26 ± 379.67</t>
  </si>
  <si>
    <t>344054.18 ± 3653.62</t>
  </si>
  <si>
    <t>239542.66 ± 3172.11</t>
  </si>
  <si>
    <t>10.88 ± 0.31</t>
  </si>
  <si>
    <t>4.88 ± 0.00</t>
  </si>
  <si>
    <t>12.03 ± 0.29</t>
  </si>
  <si>
    <t>3255.06 ± 47.01</t>
  </si>
  <si>
    <t>18.56 ± 0.43</t>
  </si>
  <si>
    <t>1812.66 ± 31.84</t>
  </si>
  <si>
    <t>0.08 ± 0.00</t>
  </si>
  <si>
    <t>642.47 ± 127.48</t>
  </si>
  <si>
    <t>19.95 ± 0.23</t>
  </si>
  <si>
    <t>199.73 ± 115.39</t>
  </si>
  <si>
    <t>1087.67 ± 18.65</t>
  </si>
  <si>
    <t>13005.44 ± 683.92</t>
  </si>
  <si>
    <t>532920.77 ± 10466.06</t>
  </si>
  <si>
    <t>375651.20 ± 7416.06</t>
  </si>
  <si>
    <t>14.22 ± 0.29</t>
  </si>
  <si>
    <t>45.96 ± 0.76</t>
  </si>
  <si>
    <t>7407.54 ± 128.65</t>
  </si>
  <si>
    <t>13.05 ± 6.80</t>
  </si>
  <si>
    <t>985.23 ± 10.34</t>
  </si>
  <si>
    <t>0.10 ± 0.01</t>
  </si>
  <si>
    <t>174.97 ± 18.90</t>
  </si>
  <si>
    <t>6.21 ± 2.02</t>
  </si>
  <si>
    <t>45.18 ± 0.57</t>
  </si>
  <si>
    <t>268.82 ± 49.76</t>
  </si>
  <si>
    <t>1424.48 ± 46.60</t>
  </si>
  <si>
    <t>12.19 ± 1.34</t>
  </si>
  <si>
    <t>7.49 ± 6.78</t>
  </si>
  <si>
    <t>5.98 ± 0.09</t>
  </si>
  <si>
    <t>839.33 ± 11.87</t>
  </si>
  <si>
    <t>533.38 ± 9.07</t>
  </si>
  <si>
    <t>8.95 ± 0.10</t>
  </si>
  <si>
    <t>0.17 ± 0.00</t>
  </si>
  <si>
    <t>56.92 ± 27.91</t>
  </si>
  <si>
    <t>278.39 ± 3.94</t>
  </si>
  <si>
    <t>180.71 ± 41.47</t>
  </si>
  <si>
    <t>1476.84 ± 29.90</t>
  </si>
  <si>
    <t>16.46 ± 1.92</t>
  </si>
  <si>
    <t>273.76 ± 16.44</t>
  </si>
  <si>
    <t>3.96 ± 0.12</t>
  </si>
  <si>
    <t>4.57 ± 0.15</t>
  </si>
  <si>
    <t>12.23 ± 1.48</t>
  </si>
  <si>
    <t>84.48 ± 16.35</t>
  </si>
  <si>
    <t>151.70 ± 8.26</t>
  </si>
  <si>
    <t>707.75 ± 6.28</t>
  </si>
  <si>
    <t>196.32 ± 13.34</t>
  </si>
  <si>
    <t>23.03 ± 0.60</t>
  </si>
  <si>
    <t>178.17 ± 53.67</t>
  </si>
  <si>
    <t>39.81 ± 8.08</t>
  </si>
  <si>
    <t>0.39 ± 0.01</t>
  </si>
  <si>
    <t>8.16 ± 0.65</t>
  </si>
  <si>
    <t>1496.30 ± 6.76</t>
  </si>
  <si>
    <t>4.52 ± 0.10</t>
  </si>
  <si>
    <t>0.31 ± 0.06</t>
  </si>
  <si>
    <t>0.73 ± 0.04</t>
  </si>
  <si>
    <t>47.03 ± 7.84</t>
  </si>
  <si>
    <t>36.86 ± 0.27</t>
  </si>
  <si>
    <t>255.39 ± 17.12</t>
  </si>
  <si>
    <t>71.08 ± 6.94</t>
  </si>
  <si>
    <t>14.39 ± 0.82</t>
  </si>
  <si>
    <t>175.94 ± 44.22</t>
  </si>
  <si>
    <t>16.96 ± 5.28</t>
  </si>
  <si>
    <t>1.83 ± 0.04</t>
  </si>
  <si>
    <t>5.44 ± 0.10</t>
  </si>
  <si>
    <t>1764.70 ± 26.38</t>
  </si>
  <si>
    <t>9.02 ± 0.08</t>
  </si>
  <si>
    <t>0.21 ± 0.01</t>
  </si>
  <si>
    <t>1.08 ± 0.48</t>
  </si>
  <si>
    <t>414.95 ± 58.76</t>
  </si>
  <si>
    <t>99.96 ± 0.02</t>
  </si>
  <si>
    <t>71.54 ± 0.50</t>
  </si>
  <si>
    <t>1036.52 ± 29.03</t>
  </si>
  <si>
    <t>12.23 ± 0.11</t>
  </si>
  <si>
    <t>21.44 ± 0.33</t>
  </si>
  <si>
    <t>11.05 ± 0.19</t>
  </si>
  <si>
    <t>281.81 ± 41.92</t>
  </si>
  <si>
    <t>37.45 ± 1.70</t>
  </si>
  <si>
    <t>60.56 ± 2.14</t>
  </si>
  <si>
    <t>779.66 ± 27.24</t>
  </si>
  <si>
    <t>12.50 ± 0.50</t>
  </si>
  <si>
    <t>57.07 ± 1.43</t>
  </si>
  <si>
    <t>18.11 ± 0.83</t>
  </si>
  <si>
    <t>0.04 ± 0.00</t>
  </si>
  <si>
    <r>
      <t>Bolded values indicate R</t>
    </r>
    <r>
      <rPr>
        <i/>
        <vertAlign val="superscript"/>
        <sz val="10"/>
        <color theme="1"/>
        <rFont val="Arial"/>
        <family val="2"/>
      </rPr>
      <t xml:space="preserve">2 </t>
    </r>
    <r>
      <rPr>
        <i/>
        <sz val="10"/>
        <color theme="1"/>
        <rFont val="Arial"/>
        <family val="2"/>
      </rPr>
      <t>values greater than 0.7.</t>
    </r>
  </si>
  <si>
    <t>Non-Cancer Health Quotient (HQ)</t>
  </si>
  <si>
    <t>Component</t>
  </si>
  <si>
    <t># of Puffs</t>
  </si>
  <si>
    <t>Puff Intervals</t>
  </si>
  <si>
    <t>100-300</t>
  </si>
  <si>
    <t>1-ELF Bar Flavored</t>
  </si>
  <si>
    <t>2-ELF Bar Flavored</t>
  </si>
  <si>
    <t>3-ELF Bar Flavored</t>
  </si>
  <si>
    <t xml:space="preserve">1-ELF Bar Clear </t>
  </si>
  <si>
    <t xml:space="preserve">2-ELF Bar Clear </t>
  </si>
  <si>
    <t xml:space="preserve">3-ELF Bar Clear </t>
  </si>
  <si>
    <t xml:space="preserve">ELF Bar Clear </t>
  </si>
  <si>
    <t>1-ELF Bar Flavored 0% Nicotine</t>
  </si>
  <si>
    <t>2-ELF Bar Flavored 0% Nicotine</t>
  </si>
  <si>
    <t>3-ELF Bar Flavored 0% Nicotine</t>
  </si>
  <si>
    <t xml:space="preserve">ELF Bar Flavored 0% Nicotine </t>
  </si>
  <si>
    <t>1-Flum Pebble Flavored</t>
  </si>
  <si>
    <t>2-Flum Pebble Flavored</t>
  </si>
  <si>
    <t>3-Flum Pebble Flavored</t>
  </si>
  <si>
    <t xml:space="preserve">1-Flum Pebble Clear </t>
  </si>
  <si>
    <t xml:space="preserve">2-Flum Pebble Clear </t>
  </si>
  <si>
    <t xml:space="preserve">3-Flum Pebble Clear </t>
  </si>
  <si>
    <t xml:space="preserve">Flum Pebble Clear </t>
  </si>
  <si>
    <t>1- Esco Bar Flavored 100 puffs</t>
  </si>
  <si>
    <t>1- Esco Bar Flavored 200 puffs</t>
  </si>
  <si>
    <t>1- Esco Bar Flavored 300 puffs</t>
  </si>
  <si>
    <t>1- Esco Bar Flavored 400 puffs</t>
  </si>
  <si>
    <t>1- Esco Bar Flavored 500 puffs</t>
  </si>
  <si>
    <t>2- Esco Bar Flavored 100 puffs</t>
  </si>
  <si>
    <t>2- Esco Bar Flavored 200 puffs</t>
  </si>
  <si>
    <t>2- Esco Bar Flavored 300 puffs</t>
  </si>
  <si>
    <t>2- Esco Bar Flavored 400 puffs</t>
  </si>
  <si>
    <t>2- Esco Bar Flavored 500 puffs</t>
  </si>
  <si>
    <t>3- Esco Bar Flavored 100 puffs</t>
  </si>
  <si>
    <t>3- Esco Bar Flavored 200 puffs</t>
  </si>
  <si>
    <t>3- Esco Bar Flavored 300 puffs</t>
  </si>
  <si>
    <t>3- Esco Bar Flavored 400 puffs</t>
  </si>
  <si>
    <t>3- Esco Bar Flavored 500 puffs</t>
  </si>
  <si>
    <t>Esco Bar Flavored vs Clear</t>
  </si>
  <si>
    <t>7.66 ± 3.75</t>
  </si>
  <si>
    <t>193.51 ± 159.48</t>
  </si>
  <si>
    <t>15.09 ± 10.99</t>
  </si>
  <si>
    <t>175.59 ± 119.50</t>
  </si>
  <si>
    <t>2.14 ± 0.14</t>
  </si>
  <si>
    <t>0.00 ± 0.06</t>
  </si>
  <si>
    <t>0.41 ± 0.15</t>
  </si>
  <si>
    <t>0.02 ± 0.04</t>
  </si>
  <si>
    <t>9.43 ± 5.85</t>
  </si>
  <si>
    <t>49.82 ± 45.08</t>
  </si>
  <si>
    <t>346.53 ± 201.40</t>
  </si>
  <si>
    <t>3.92 ± 4.36</t>
  </si>
  <si>
    <t>334.48 ± 181.95</t>
  </si>
  <si>
    <t>2.41 ± 0.25</t>
  </si>
  <si>
    <t>0.72 ± 0.04</t>
  </si>
  <si>
    <t>2.08 ± 0.75</t>
  </si>
  <si>
    <t>117.19 ± 82.74</t>
  </si>
  <si>
    <t>683.03 ± 377.64</t>
  </si>
  <si>
    <t>7.60 ± 3.45</t>
  </si>
  <si>
    <t>580.42 ± 395.01</t>
  </si>
  <si>
    <t>2.31 ± 0.14</t>
  </si>
  <si>
    <t>0.04 ± 0.07</t>
  </si>
  <si>
    <t>0.74 ± 0.12</t>
  </si>
  <si>
    <t>4.79 ± 1.36</t>
  </si>
  <si>
    <t>184.52 ± 132.50</t>
  </si>
  <si>
    <t>1008.00 ± 542.18</t>
  </si>
  <si>
    <t>6.95 ± 5.35</t>
  </si>
  <si>
    <t>554.29 ± 203.25</t>
  </si>
  <si>
    <t>2.80 ± 0.04</t>
  </si>
  <si>
    <t>0.69 ± 0.21</t>
  </si>
  <si>
    <t>3.91 ± 2.86</t>
  </si>
  <si>
    <t>235.98 ± 143.55</t>
  </si>
  <si>
    <t>1263.29 ± 633.99</t>
  </si>
  <si>
    <t>15.18 ± 16.53</t>
  </si>
  <si>
    <t>767.80 ± 250.25</t>
  </si>
  <si>
    <t>3.02 ± 0.93</t>
  </si>
  <si>
    <t>0.89 ± 0.22</t>
  </si>
  <si>
    <t>8.58 ± 3.45</t>
  </si>
  <si>
    <t>84.59 ± 65.36</t>
  </si>
  <si>
    <t>264.40 ± 144.76</t>
  </si>
  <si>
    <t>6.74 ± 17.51</t>
  </si>
  <si>
    <t>26.00 ± 41.01</t>
  </si>
  <si>
    <t>7.60 ± 2.39</t>
  </si>
  <si>
    <t>1.88 ± 0.71</t>
  </si>
  <si>
    <t>160.53 ± 161.02</t>
  </si>
  <si>
    <t>404.41 ± 219.61</t>
  </si>
  <si>
    <t>7.52 ± 2.58</t>
  </si>
  <si>
    <t>0.53 ± 0.86</t>
  </si>
  <si>
    <t>3.21 ± 1.28</t>
  </si>
  <si>
    <t>0.17 ± 0.15</t>
  </si>
  <si>
    <t>175.14 ± 194.05</t>
  </si>
  <si>
    <t>434.29 ± 109.98</t>
  </si>
  <si>
    <t>53.23 ± 54.13</t>
  </si>
  <si>
    <t>65.59 ± 11.33</t>
  </si>
  <si>
    <t>7.32 ± 1.60</t>
  </si>
  <si>
    <t>2.89 ± 0.74</t>
  </si>
  <si>
    <t>14.36 ± 11.94</t>
  </si>
  <si>
    <t>116.67 ± 40.34</t>
  </si>
  <si>
    <t>456.25 ± 266.31</t>
  </si>
  <si>
    <t>8.57 ± 13.41</t>
  </si>
  <si>
    <t>67.59 ± 55.67</t>
  </si>
  <si>
    <t>7.54 ± 2.78</t>
  </si>
  <si>
    <t>2.76 ± 1.38</t>
  </si>
  <si>
    <t>0.04 ± 0.08</t>
  </si>
  <si>
    <t>185.84 ± 71.15</t>
  </si>
  <si>
    <t>612.46 ± 450.47</t>
  </si>
  <si>
    <t>19.19 ± 22.97</t>
  </si>
  <si>
    <t>97.68 ± 29.44</t>
  </si>
  <si>
    <t>7.42 ± 2.25</t>
  </si>
  <si>
    <t>3.61 ± 1.40</t>
  </si>
  <si>
    <t>0.01 ± 0.07</t>
  </si>
  <si>
    <t>110.01 ± 40.65</t>
  </si>
  <si>
    <t>477.77 ± 199.85</t>
  </si>
  <si>
    <t>1.23 ± 0.23</t>
  </si>
  <si>
    <t>49.36 ± 40.62</t>
  </si>
  <si>
    <t>32.65 ± 53.21</t>
  </si>
  <si>
    <t>0.15 ± 0.17</t>
  </si>
  <si>
    <t>201.33 ± 121.15</t>
  </si>
  <si>
    <t>942.75 ± 536.47</t>
  </si>
  <si>
    <t>17.25 ± 4.65</t>
  </si>
  <si>
    <t>122.04 ± 61.79</t>
  </si>
  <si>
    <t>1.28 ± 0.41</t>
  </si>
  <si>
    <t>9.14 ± 8.23</t>
  </si>
  <si>
    <t>41.08 ± 66.68</t>
  </si>
  <si>
    <t>4.87 ± 1.94</t>
  </si>
  <si>
    <t>169.47 ± 124.84</t>
  </si>
  <si>
    <t>4454.66 ± 2728.44</t>
  </si>
  <si>
    <t>16484.98 ± 6082.03</t>
  </si>
  <si>
    <t>18.64 ± 21.25</t>
  </si>
  <si>
    <t>22.04 ± 4.40</t>
  </si>
  <si>
    <t>1945.01 ± 2211.18</t>
  </si>
  <si>
    <t>308.78 ± 178.54</t>
  </si>
  <si>
    <t>321.39 ± 0.55</t>
  </si>
  <si>
    <t>23798.15 ± 5769.08</t>
  </si>
  <si>
    <t>119.04 ± 93.76</t>
  </si>
  <si>
    <t>698.87 ± 445.51</t>
  </si>
  <si>
    <t>9.75 ± 5.11</t>
  </si>
  <si>
    <t>482.52 ± 230.35</t>
  </si>
  <si>
    <t>2.54 ± 0.36</t>
  </si>
  <si>
    <t>0.69 ± 0.17</t>
  </si>
  <si>
    <t>5.76 ± 3.13</t>
  </si>
  <si>
    <t>144.55 ± 42.63</t>
  </si>
  <si>
    <t>434.36 ± 124.48</t>
  </si>
  <si>
    <t>7.48 ± 0.11</t>
  </si>
  <si>
    <t>2.87 ± 0.64</t>
  </si>
  <si>
    <t>174.82 ± 44.01</t>
  </si>
  <si>
    <t>896.22 ± 239.47</t>
  </si>
  <si>
    <t>1.37 ± 0.11</t>
  </si>
  <si>
    <t>53.81 ± 24.71</t>
  </si>
  <si>
    <t>100.96 ± 63.37</t>
  </si>
  <si>
    <t>155.01 ± 84.90</t>
  </si>
  <si>
    <t>1.43 ± 0.22</t>
  </si>
  <si>
    <t>0.16 ± 0.14</t>
  </si>
  <si>
    <t>19.89 ± 10.57</t>
  </si>
  <si>
    <t>352.87 ± 61.38</t>
  </si>
  <si>
    <t>0.19 ± 0.16</t>
  </si>
  <si>
    <t>27.29 ± 9.07</t>
  </si>
  <si>
    <t>69.42 ± 22.72</t>
  </si>
  <si>
    <t>1.80 ± 0.18</t>
  </si>
  <si>
    <t>0.45 ± 0.07</t>
  </si>
  <si>
    <t>398.66 ± 65.70</t>
  </si>
  <si>
    <t>0.24 ± 0.17</t>
  </si>
  <si>
    <t>2648.55 ± 1033.91</t>
  </si>
  <si>
    <t>7567.90 ± 1015.75</t>
  </si>
  <si>
    <t>24278.03 ± 4853.84</t>
  </si>
  <si>
    <t>4.47 ± 0.89</t>
  </si>
  <si>
    <t>1.77 ± 0.44</t>
  </si>
  <si>
    <t>321.32 ± 85.74</t>
  </si>
  <si>
    <t>255.86 ± 79.04</t>
  </si>
  <si>
    <t>100.48 ± 23.58</t>
  </si>
  <si>
    <t>5971.49 ± 1730.66</t>
  </si>
  <si>
    <t>889.09 ± 479.08</t>
  </si>
  <si>
    <t>12271.10 ± 6426.30</t>
  </si>
  <si>
    <t>53028.12 ± 14513.77</t>
  </si>
  <si>
    <t>6.75 ± 1.74</t>
  </si>
  <si>
    <t>16.66 ± 7.29</t>
  </si>
  <si>
    <t>768.29 ± 105.45</t>
  </si>
  <si>
    <t>152.65 ± 29.64</t>
  </si>
  <si>
    <t>360.11 ± 156.86</t>
  </si>
  <si>
    <t>30048.96 ± 5239.17</t>
  </si>
  <si>
    <t>Zn</t>
  </si>
  <si>
    <t>Cu</t>
  </si>
  <si>
    <t>Various MODS</t>
  </si>
  <si>
    <t xml:space="preserve">ELF Bar </t>
  </si>
  <si>
    <t>Flum Pebble</t>
  </si>
  <si>
    <t>Esco Bar</t>
  </si>
  <si>
    <t>Comparion</t>
  </si>
  <si>
    <t>SMOK MODS</t>
  </si>
  <si>
    <t>JUUL</t>
  </si>
  <si>
    <t>Analysis Mode</t>
  </si>
  <si>
    <t>4.5 L/min</t>
  </si>
  <si>
    <t>Kinetic Energy Discrimination (KED) (all elements)</t>
  </si>
  <si>
    <t>Tropical Rainbow Blast</t>
  </si>
  <si>
    <t>Mean Aerosol Element Concentrations (µg/kg) (100 - 500 puffs)</t>
  </si>
  <si>
    <t>Data Comparisons to Literature</t>
  </si>
  <si>
    <t>Esco Bar Comparisons to Cigarettes</t>
  </si>
  <si>
    <t>Instrument and Method Parameters</t>
  </si>
  <si>
    <t>Esco Bar Flavored Cumulative Mass, Rep 1</t>
  </si>
  <si>
    <t>Esco Bar Flavored Cumulative Mass, Rep 2</t>
  </si>
  <si>
    <t>Esco Bar Flavored Cumulative Mass, Rep 3</t>
  </si>
  <si>
    <t>Esco Bar Flavored Cumulative Mass, Mean</t>
  </si>
  <si>
    <t>Esco Bar Flavored Cumulative Mass, SD</t>
  </si>
  <si>
    <t>Esco Bar Clear Cumulative Mass, Rep 1</t>
  </si>
  <si>
    <t>Esco Bar Clear Cumulative Mass, Rep 2</t>
  </si>
  <si>
    <t>Esco Bar Clear Cumulative Mass, Rep 3</t>
  </si>
  <si>
    <t>Esco Bar Clear Cumulative Mass, Mean</t>
  </si>
  <si>
    <t>Esco Bar Clear Cumulative Mass, SD</t>
  </si>
  <si>
    <t>Esco Bar Flavored 100 - 200 puff Average Mass</t>
  </si>
  <si>
    <t>Esco Bar Clear 100 - 200 puff Average Mass</t>
  </si>
  <si>
    <t>Esco Bar Flavored Pb (100 - 200 puff) / Cigarette (1 pack) Pb Mass</t>
  </si>
  <si>
    <t>Esco Bar Clear Pb (100 - 200 puff) / Cigarette (1 pack) Pb Mass</t>
  </si>
  <si>
    <t>15-120</t>
  </si>
  <si>
    <t>290-330</t>
  </si>
  <si>
    <t>Esco Bar Flavored 100 - 200 puff Average Mass (SD)</t>
  </si>
  <si>
    <t>Esco Bar Clear 100 - 200 puff Average Mass (SD)</t>
  </si>
  <si>
    <t xml:space="preserve">Clear </t>
  </si>
  <si>
    <t>R</t>
  </si>
  <si>
    <t>Non-Cancer and Cancer Risk Assessment</t>
  </si>
  <si>
    <t>Sample; ID = 0.508 mm, L = 406 mm, orange/yellow</t>
  </si>
  <si>
    <t>Internal Standard; ID = 0.254, L = 406 mm, orange/blue</t>
  </si>
  <si>
    <t>Ni 4450 Sample Cone</t>
  </si>
  <si>
    <t>Ni iCAP-Q 0.5 mm Insert Version</t>
  </si>
  <si>
    <t>MicroMist DC Nebulizer 0.4 mL/min</t>
  </si>
  <si>
    <t>1 L/min</t>
  </si>
  <si>
    <t>Microwave Digester</t>
  </si>
  <si>
    <t>Milestone ETHOS UP</t>
  </si>
  <si>
    <t>Rotor</t>
  </si>
  <si>
    <t>MAXI-44</t>
  </si>
  <si>
    <t>Digetion Vessels</t>
  </si>
  <si>
    <t>Quartz Cyclonic Spray Chamber</t>
  </si>
  <si>
    <t>Power</t>
  </si>
  <si>
    <t>Temperature 1</t>
  </si>
  <si>
    <t>Temperature 2</t>
  </si>
  <si>
    <t>Ramp Time 1</t>
  </si>
  <si>
    <t>1800 W</t>
  </si>
  <si>
    <r>
      <t>100</t>
    </r>
    <r>
      <rPr>
        <sz val="10"/>
        <color theme="1"/>
        <rFont val="Aptos Narrow"/>
        <family val="2"/>
      </rPr>
      <t>°</t>
    </r>
    <r>
      <rPr>
        <sz val="9"/>
        <color theme="1"/>
        <rFont val="Arial"/>
        <family val="2"/>
      </rPr>
      <t>C</t>
    </r>
  </si>
  <si>
    <t>10 minutes</t>
  </si>
  <si>
    <r>
      <t>120</t>
    </r>
    <r>
      <rPr>
        <sz val="10"/>
        <color theme="1"/>
        <rFont val="Aptos Narrow"/>
        <family val="2"/>
      </rPr>
      <t>°</t>
    </r>
    <r>
      <rPr>
        <sz val="9"/>
        <color theme="1"/>
        <rFont val="Arial"/>
        <family val="2"/>
      </rPr>
      <t>C</t>
    </r>
  </si>
  <si>
    <r>
      <t>150</t>
    </r>
    <r>
      <rPr>
        <sz val="10"/>
        <color theme="1"/>
        <rFont val="Aptos Narrow"/>
        <family val="2"/>
      </rPr>
      <t>°</t>
    </r>
    <r>
      <rPr>
        <sz val="9"/>
        <color theme="1"/>
        <rFont val="Arial"/>
        <family val="2"/>
      </rPr>
      <t>C</t>
    </r>
  </si>
  <si>
    <r>
      <t>180</t>
    </r>
    <r>
      <rPr>
        <sz val="10"/>
        <color theme="1"/>
        <rFont val="Aptos Narrow"/>
        <family val="2"/>
      </rPr>
      <t>°</t>
    </r>
    <r>
      <rPr>
        <sz val="9"/>
        <color theme="1"/>
        <rFont val="Arial"/>
        <family val="2"/>
      </rPr>
      <t>C</t>
    </r>
  </si>
  <si>
    <t>Ramp Time 2</t>
  </si>
  <si>
    <t>Temperature 3</t>
  </si>
  <si>
    <t>Ramp Time 3</t>
  </si>
  <si>
    <t>Temperature 4</t>
  </si>
  <si>
    <t>Ramp Time 4</t>
  </si>
  <si>
    <t>Temperature 5</t>
  </si>
  <si>
    <t>Cooling Time</t>
  </si>
  <si>
    <t>20 minutes</t>
  </si>
  <si>
    <r>
      <t>200</t>
    </r>
    <r>
      <rPr>
        <sz val="10"/>
        <color theme="1"/>
        <rFont val="Aptos Narrow"/>
        <family val="2"/>
      </rPr>
      <t>°</t>
    </r>
    <r>
      <rPr>
        <sz val="9"/>
        <color theme="1"/>
        <rFont val="Arial"/>
        <family val="2"/>
      </rPr>
      <t>C</t>
    </r>
  </si>
  <si>
    <t>30 minutes</t>
  </si>
  <si>
    <t>Thermo Fisher iCAP RQ ICP-MS</t>
  </si>
  <si>
    <t xml:space="preserve">Laser </t>
  </si>
  <si>
    <t>Mode</t>
  </si>
  <si>
    <t>Time-Resolved Analysis (TRA)</t>
  </si>
  <si>
    <t>New Wave UP213, Nd:YAG</t>
  </si>
  <si>
    <t>213 nm</t>
  </si>
  <si>
    <t>Pulse Rate</t>
  </si>
  <si>
    <t>10 Hz</t>
  </si>
  <si>
    <t>Nebulizer Flow (Ar)</t>
  </si>
  <si>
    <t>1.2 L/min</t>
  </si>
  <si>
    <t>Collision Gas Flow (He)</t>
  </si>
  <si>
    <t>2.8 mL/min</t>
  </si>
  <si>
    <t>Carrier Gas Flow (He)</t>
  </si>
  <si>
    <t>0.9 L/min</t>
  </si>
  <si>
    <t>LC-ICP-MS (Cr Speciation)</t>
  </si>
  <si>
    <t xml:space="preserve">Acquisition Time </t>
  </si>
  <si>
    <t>0.2 seconds</t>
  </si>
  <si>
    <t>2 L/min</t>
  </si>
  <si>
    <t>Integration Mode</t>
  </si>
  <si>
    <t>Analytes</t>
  </si>
  <si>
    <r>
      <t>Sc</t>
    </r>
    <r>
      <rPr>
        <vertAlign val="superscript"/>
        <sz val="10"/>
        <color theme="1"/>
        <rFont val="Arial"/>
        <family val="2"/>
      </rPr>
      <t>45</t>
    </r>
    <r>
      <rPr>
        <sz val="10"/>
        <color theme="1"/>
        <rFont val="Arial"/>
        <family val="2"/>
      </rPr>
      <t>, Cr</t>
    </r>
    <r>
      <rPr>
        <vertAlign val="superscript"/>
        <sz val="10"/>
        <color theme="1"/>
        <rFont val="Arial"/>
        <family val="2"/>
      </rPr>
      <t>52</t>
    </r>
  </si>
  <si>
    <t>Kinetic Energy Discrimination (KED)</t>
  </si>
  <si>
    <t>Binary Pump</t>
  </si>
  <si>
    <t>Agilent 1100 1312A</t>
  </si>
  <si>
    <t>Autosampler</t>
  </si>
  <si>
    <t>Agilent 1100 1313A</t>
  </si>
  <si>
    <t>Column</t>
  </si>
  <si>
    <t>Diluent</t>
  </si>
  <si>
    <t>Mobile Phase / Diluent</t>
  </si>
  <si>
    <t>Needle Wash</t>
  </si>
  <si>
    <t>LC Vial Material</t>
  </si>
  <si>
    <t>Column Guard</t>
  </si>
  <si>
    <t>Interactive Chemical Information System (ICIS)</t>
  </si>
  <si>
    <t>Burgener PEEK Mira Mist Nebulizer (0.2 - 2.5 mL/min)</t>
  </si>
  <si>
    <t>LC Flow Rate</t>
  </si>
  <si>
    <t>1.2 mL/min</t>
  </si>
  <si>
    <t>Injection Volume</t>
  </si>
  <si>
    <t xml:space="preserve">Sample Loop </t>
  </si>
  <si>
    <t>100 µL</t>
  </si>
  <si>
    <t>40 µL</t>
  </si>
  <si>
    <t>Hamilton PRP-X100, 5 µm, 4.1 x 50 mm</t>
  </si>
  <si>
    <t>LC-ICP-MS (Sb Speciation)</t>
  </si>
  <si>
    <t>Standard Mode (STD)</t>
  </si>
  <si>
    <r>
      <t>Y</t>
    </r>
    <r>
      <rPr>
        <vertAlign val="superscript"/>
        <sz val="10"/>
        <color theme="1"/>
        <rFont val="Arial"/>
        <family val="2"/>
      </rPr>
      <t>89</t>
    </r>
    <r>
      <rPr>
        <sz val="10"/>
        <color theme="1"/>
        <rFont val="Arial"/>
        <family val="2"/>
      </rPr>
      <t>, Sb</t>
    </r>
    <r>
      <rPr>
        <vertAlign val="superscript"/>
        <sz val="10"/>
        <color theme="1"/>
        <rFont val="Arial"/>
        <family val="2"/>
      </rPr>
      <t>121</t>
    </r>
  </si>
  <si>
    <t>20 µL</t>
  </si>
  <si>
    <t>10 mM EDTA, 1 mM Phthalic Acid, pH 4.5</t>
  </si>
  <si>
    <r>
      <t>0.5 mM EDTA, 14 mM NH</t>
    </r>
    <r>
      <rPr>
        <vertAlign val="subscript"/>
        <sz val="10"/>
        <color theme="1"/>
        <rFont val="Arial"/>
        <family val="2"/>
      </rPr>
      <t>4</t>
    </r>
    <r>
      <rPr>
        <sz val="10"/>
        <color theme="1"/>
        <rFont val="Arial"/>
        <family val="2"/>
      </rPr>
      <t>NO</t>
    </r>
    <r>
      <rPr>
        <vertAlign val="subscript"/>
        <sz val="10"/>
        <color theme="1"/>
        <rFont val="Arial"/>
        <family val="2"/>
      </rPr>
      <t xml:space="preserve">3, </t>
    </r>
    <r>
      <rPr>
        <sz val="10"/>
        <color theme="1"/>
        <rFont val="Arial"/>
        <family val="2"/>
      </rPr>
      <t>pH 7.0</t>
    </r>
  </si>
  <si>
    <t>5 mM Citric Acid</t>
  </si>
  <si>
    <t>Laser Wavelength</t>
  </si>
  <si>
    <t>Laser Energy</t>
  </si>
  <si>
    <t>Laser Fluence</t>
  </si>
  <si>
    <t>Flum Pebble Flavored, Replicate 1</t>
  </si>
  <si>
    <t>Flum Pebble Flavored, Replicate 2</t>
  </si>
  <si>
    <t>Flum Pebble Flavored, Replicate 3</t>
  </si>
  <si>
    <t>% Sb III</t>
  </si>
  <si>
    <t>400-1200</t>
  </si>
  <si>
    <t>100-1200</t>
  </si>
  <si>
    <t>Flum Pebble Flavored, Total Means</t>
  </si>
  <si>
    <t>Flum Pebble Flavored, Replicate 3 Means</t>
  </si>
  <si>
    <t>Flum Pebble Flavored, Replicate 2 Means</t>
  </si>
  <si>
    <t>Flum Pebble Flavored, Replicate 1 Means</t>
  </si>
  <si>
    <t>Flum Pebble Flavored, Replicate 1 SD</t>
  </si>
  <si>
    <t>Flum Pebble Flavored, Replicate 2 SD</t>
  </si>
  <si>
    <t>Flum Pebble Flavored, Replicate 3 SD</t>
  </si>
  <si>
    <t>Flum Pebble Flavored, Total SD</t>
  </si>
  <si>
    <t>Flum Pebble Flavored, Minimum Values</t>
  </si>
  <si>
    <t>Flum Pebble Flavored, Maximum Values</t>
  </si>
  <si>
    <t>Flum Pebble Clear, Replicate 1</t>
  </si>
  <si>
    <t>Flum Pebble Clear, Replicate 2</t>
  </si>
  <si>
    <t>Flum Pebble Clear, Replicate 3</t>
  </si>
  <si>
    <t>Flum Pebble Clear, Replicate 1 Means</t>
  </si>
  <si>
    <t>Flum Pebble Clear, Replicate 1 SD</t>
  </si>
  <si>
    <t>Flum Pebble Clear, Replicate 2 Means</t>
  </si>
  <si>
    <t>Flum Pebble Clear, Replicate 2 SD</t>
  </si>
  <si>
    <t>Flum Pebble Clear, Replicate 3 Means</t>
  </si>
  <si>
    <t>Flum Pebble Clear, Replicate 3 SD</t>
  </si>
  <si>
    <t>Flum Pebble Clear, Total Means</t>
  </si>
  <si>
    <t>Flum Pebble Clear, Total SD</t>
  </si>
  <si>
    <t>Flum Pebble Clear, Minimum Values</t>
  </si>
  <si>
    <t>Flum Pebble Clear, Maximum Values</t>
  </si>
  <si>
    <t>100-600</t>
  </si>
  <si>
    <t>Polypropylene, 2 mL</t>
  </si>
  <si>
    <t xml:space="preserve">100 mL MAXI-44 PTFE </t>
  </si>
  <si>
    <t>Hamilton PRP-X100 Guard Cartridge, PEEK</t>
  </si>
  <si>
    <t>Run Time</t>
  </si>
  <si>
    <t>7 minutes</t>
  </si>
  <si>
    <t>1-ELF Bar Clear</t>
  </si>
  <si>
    <t>2-ELF Bar Clear</t>
  </si>
  <si>
    <t>3-ELF Bar Clear</t>
  </si>
  <si>
    <t>1-Flum Pebble Clear</t>
  </si>
  <si>
    <t>2-Flum Pebble Clear</t>
  </si>
  <si>
    <t>3-Flum Pebble Clear</t>
  </si>
  <si>
    <t xml:space="preserve">1- Esco Bar Flavored </t>
  </si>
  <si>
    <t>1- Esco Bar Flavored</t>
  </si>
  <si>
    <t>2- Esco Bar Flavored</t>
  </si>
  <si>
    <t xml:space="preserve">2- Esco Bar Flavored </t>
  </si>
  <si>
    <t xml:space="preserve">3- Esco Bar Flavored </t>
  </si>
  <si>
    <t>3- Esco Bar Flavored</t>
  </si>
  <si>
    <t xml:space="preserve">1- Esco Bar Clear </t>
  </si>
  <si>
    <t>1- Esco Bar Clear</t>
  </si>
  <si>
    <t xml:space="preserve">2- Esco Bar Clear </t>
  </si>
  <si>
    <t>2- Esco Bar Clear</t>
  </si>
  <si>
    <t>3- Esco Bar Clear</t>
  </si>
  <si>
    <t xml:space="preserve">3- Esco Bar Clear </t>
  </si>
  <si>
    <t>Flum Pebble Flavored, Median Values</t>
  </si>
  <si>
    <t>Flum Pebble Clear, Median Values</t>
  </si>
  <si>
    <t>Sb Speciation Data &amp; Chromatograms</t>
  </si>
  <si>
    <t>S22</t>
  </si>
  <si>
    <t>Al</t>
  </si>
  <si>
    <t>V</t>
  </si>
  <si>
    <t>Mn</t>
  </si>
  <si>
    <t>Co</t>
  </si>
  <si>
    <t>Mo</t>
  </si>
  <si>
    <t>Sn</t>
  </si>
  <si>
    <t>W</t>
  </si>
  <si>
    <r>
      <t xml:space="preserve">Table S1: </t>
    </r>
    <r>
      <rPr>
        <sz val="10"/>
        <color theme="1"/>
        <rFont val="Arial"/>
        <family val="2"/>
      </rPr>
      <t xml:space="preserve">Laser ablation results of coils and miscellaneous metallic components analyzed across all device brands and types. Devices tested, sample type, puff count, and % metal composition provided. Isotopes intensities (CPS) were summed per element. Relative abundance (%) was calculated by dividing element signal intensity (CPS) by total element signal intensities (CPS) and multiplying by 100%. See </t>
    </r>
    <r>
      <rPr>
        <b/>
        <sz val="10"/>
        <color theme="1"/>
        <rFont val="Arial"/>
        <family val="2"/>
      </rPr>
      <t>SI Section S1.1</t>
    </r>
    <r>
      <rPr>
        <sz val="10"/>
        <color theme="1"/>
        <rFont val="Arial"/>
        <family val="2"/>
      </rPr>
      <t xml:space="preserve"> for more details. </t>
    </r>
  </si>
  <si>
    <t>Elf Bar Flavored, Aged</t>
  </si>
  <si>
    <t>ELF Bar Clear, Aged</t>
  </si>
  <si>
    <t>ELF Bar Flavored 0% Nicotine, Aged</t>
  </si>
  <si>
    <t>Flum Pebble Flavored, Aged</t>
  </si>
  <si>
    <t>Flum Pebble Clear, Aged</t>
  </si>
  <si>
    <t>Esco Bar Flavored, Aged</t>
  </si>
  <si>
    <t>Esco Bar Clear, Aged</t>
  </si>
  <si>
    <t xml:space="preserve">Flum Pebble Flavored, Replicate 1 puffs 100 to 300 used for Cr speciation analysis. Sample diluents differed, thus 100 to 300 puff samples for replicate 1 were not available for Sb speciation analysis. Flum Pebble Flavored, Replicate 2 600 puff sample was accidentally lost. </t>
  </si>
  <si>
    <t>19.34 ± 11.19</t>
  </si>
  <si>
    <t>112.04 ± 62.66</t>
  </si>
  <si>
    <t>11.73 ± 2.78</t>
  </si>
  <si>
    <t>20.70 ± 1.81</t>
  </si>
  <si>
    <t>102.24 ± 26.56</t>
  </si>
  <si>
    <t>9.97 ± 6.31</t>
  </si>
  <si>
    <t>26.89 ± 3.88</t>
  </si>
  <si>
    <t>38.94 ± 15.86</t>
  </si>
  <si>
    <t>8.43 ± 1.69</t>
  </si>
  <si>
    <t>49.72 ± 61.31</t>
  </si>
  <si>
    <t>133.37 ± 44.33</t>
  </si>
  <si>
    <t>51.25 ± 3.76</t>
  </si>
  <si>
    <t>97.21 ± 0.23</t>
  </si>
  <si>
    <t>22.69 ± 10.39</t>
  </si>
  <si>
    <t>64.26 ± 12.53</t>
  </si>
  <si>
    <t>18.78 ± 23.22</t>
  </si>
  <si>
    <t>15.43 ± 5.94</t>
  </si>
  <si>
    <t>0.84 ± 0.55</t>
  </si>
  <si>
    <t>0.18 ± 0.02</t>
  </si>
  <si>
    <t>0.23 ± 0.04</t>
  </si>
  <si>
    <t>0.33 ± 0.13</t>
  </si>
  <si>
    <t>0.42 ± 0.52</t>
  </si>
  <si>
    <t>1.12 ± 0.40</t>
  </si>
  <si>
    <t>0.46 ± 0.06</t>
  </si>
  <si>
    <t>0.87 ± 0.04</t>
  </si>
  <si>
    <t>0.14 ± 0.05</t>
  </si>
  <si>
    <t>0.19 ± 0.12</t>
  </si>
  <si>
    <t>0.51 ± 0.21</t>
  </si>
  <si>
    <t>21.41 ± 18.72</t>
  </si>
  <si>
    <t>73.78 ± 33.26</t>
  </si>
  <si>
    <t>26.50 ± 11.46</t>
  </si>
  <si>
    <t>164.07 ± 92.66</t>
  </si>
  <si>
    <t>23.95 ± 9.58</t>
  </si>
  <si>
    <t>60.36 ± 18.44</t>
  </si>
  <si>
    <t>7.79 ± 3.27</t>
  </si>
  <si>
    <t>51.87 ± 19.46</t>
  </si>
  <si>
    <t>113.11 ± 32.98</t>
  </si>
  <si>
    <t>14.47 ± 9.84</t>
  </si>
  <si>
    <t>83.71 ± 55.44</t>
  </si>
  <si>
    <t>18.04 ± 1.82</t>
  </si>
  <si>
    <t>88.88 ± 21.92</t>
  </si>
  <si>
    <t>22.75 ± 3.74</t>
  </si>
  <si>
    <t>32.76 ± 12.73</t>
  </si>
  <si>
    <t>42.24 ± 52.31</t>
  </si>
  <si>
    <t>112.15 ± 39.69</t>
  </si>
  <si>
    <t>46.08 ± 5.83</t>
  </si>
  <si>
    <t>87.24 ± 4.44</t>
  </si>
  <si>
    <t>18.57 ± 11.93</t>
  </si>
  <si>
    <t>51.18 ± 20.60</t>
  </si>
  <si>
    <t>8.59 ± 3.08</t>
  </si>
  <si>
    <t>8.72 ± 5.62</t>
  </si>
  <si>
    <t>7.11 ± 1.28</t>
  </si>
  <si>
    <t>15.96 ± 19.81</t>
  </si>
  <si>
    <t>13.70 ± 4.59</t>
  </si>
  <si>
    <t>.</t>
  </si>
  <si>
    <t>Battery Connector, Wiring Solder</t>
  </si>
  <si>
    <t>3.33 minutes</t>
  </si>
  <si>
    <t>*Assessed over initial 500 puffs for each replicate.</t>
  </si>
  <si>
    <t>**As specified on the device packaging.</t>
  </si>
  <si>
    <t>Mean mg/puff ± SD*</t>
  </si>
  <si>
    <t>Nicotine Concentration (mg/mL)**</t>
  </si>
  <si>
    <t>e-Liquid Capacity (mL)**</t>
  </si>
  <si>
    <t>Gradient</t>
  </si>
  <si>
    <t>Isocratic</t>
  </si>
  <si>
    <t>Wire Coil Coating</t>
  </si>
  <si>
    <t>3.92 ± 1.04</t>
  </si>
  <si>
    <t>8.71 ± 1.74</t>
  </si>
  <si>
    <t>6.59 ± 0.32</t>
  </si>
  <si>
    <t>14.71 ± 1.03</t>
  </si>
  <si>
    <t>510.30 ± 18.05</t>
  </si>
  <si>
    <t>4.07 ± 1.13</t>
  </si>
  <si>
    <t>6.44 ± 0.22</t>
  </si>
  <si>
    <t>7.98 ± 0.09</t>
  </si>
  <si>
    <t>179.10 ± 24.28</t>
  </si>
  <si>
    <t>3.27 ± 0.10</t>
  </si>
  <si>
    <t>0.23 ± 0.02</t>
  </si>
  <si>
    <t>2376.79 ± 80.19</t>
  </si>
  <si>
    <t>10.60 ± 0.74</t>
  </si>
  <si>
    <t>1.01 ± 1.07</t>
  </si>
  <si>
    <t>3.01 ± 1.81</t>
  </si>
  <si>
    <t>12.10 ± 0.79</t>
  </si>
  <si>
    <t>147.68 ± 54.43</t>
  </si>
  <si>
    <t>5.00 ± 0.23</t>
  </si>
  <si>
    <t>0.62 ± 0.01</t>
  </si>
  <si>
    <t>2048.46 ± 42.06</t>
  </si>
  <si>
    <t>12.79 ± 1.26</t>
  </si>
  <si>
    <t>1.87 ± 0.91</t>
  </si>
  <si>
    <t>651.09 ± 11.97</t>
  </si>
  <si>
    <t>2220.35 ± 43.30</t>
  </si>
  <si>
    <t>17195.55 ± 324.93</t>
  </si>
  <si>
    <t>61586.26 ± 520.34</t>
  </si>
  <si>
    <t>43476.09 ± 725.81</t>
  </si>
  <si>
    <t>125.92 ± 2.20</t>
  </si>
  <si>
    <t>0.09 ± 0.00</t>
  </si>
  <si>
    <t>271.65 ± 17.74</t>
  </si>
  <si>
    <t>278.98 ± 11.94</t>
  </si>
  <si>
    <t>686.28 ± 31.13</t>
  </si>
  <si>
    <t>1712.26 ± 73.94</t>
  </si>
  <si>
    <t>8.26 ± 1.59</t>
  </si>
  <si>
    <t>5946.95 ± 254.79</t>
  </si>
  <si>
    <t>6.79 ± 0.42</t>
  </si>
  <si>
    <t>26.32 ± 0.77</t>
  </si>
  <si>
    <t>4.79 ± 0.13</t>
  </si>
  <si>
    <t>8.97 ± 0.37</t>
  </si>
  <si>
    <t>8.44 ± 0.35</t>
  </si>
  <si>
    <t>57.42 ± 54.82</t>
  </si>
  <si>
    <t>221.14 ± 2.20</t>
  </si>
  <si>
    <t>374.47 ± 140.44</t>
  </si>
  <si>
    <t>1102.37 ± 15.18</t>
  </si>
  <si>
    <t>14.05 ± 15.41</t>
  </si>
  <si>
    <t>577.38 ± 14.53</t>
  </si>
  <si>
    <t>22.76 ± 0.08</t>
  </si>
  <si>
    <t>7.89 ± 0.60</t>
  </si>
  <si>
    <t>20.76 ± 0.37</t>
  </si>
  <si>
    <t>13.31 ± 0.50</t>
  </si>
  <si>
    <t>4.98 ± 0.93</t>
  </si>
  <si>
    <t>4.94 ± 0.65</t>
  </si>
  <si>
    <t>33411.37 ± 1981.18</t>
  </si>
  <si>
    <t>350100.18 ± 1489.71</t>
  </si>
  <si>
    <t>308145.74 ± 1399.22</t>
  </si>
  <si>
    <t>5202.90 ± 80.77</t>
  </si>
  <si>
    <t>2543.24 ± 37.33</t>
  </si>
  <si>
    <t>1711.22 ± 20.49</t>
  </si>
  <si>
    <t>89383.85 ± 523.17</t>
  </si>
  <si>
    <t>22091.10 ± 610.22</t>
  </si>
  <si>
    <t>545592.42 ± 8121.01</t>
  </si>
  <si>
    <t>461665.09 ± 7088.00</t>
  </si>
  <si>
    <t>8406.19 ± 169.14</t>
  </si>
  <si>
    <t>857.61 ± 21.85</t>
  </si>
  <si>
    <t>3238.28 ± 72.30</t>
  </si>
  <si>
    <t>175359.35 ± 4003.37</t>
  </si>
  <si>
    <t>63966.80 ± 1112.67</t>
  </si>
  <si>
    <t>127471.45 ± 1753.34</t>
  </si>
  <si>
    <t>40 µm</t>
  </si>
  <si>
    <r>
      <t>18.07 J/cm</t>
    </r>
    <r>
      <rPr>
        <vertAlign val="superscript"/>
        <sz val="10"/>
        <color theme="1"/>
        <rFont val="Arial"/>
        <family val="2"/>
      </rPr>
      <t>2</t>
    </r>
  </si>
  <si>
    <t>0.227 mJ</t>
  </si>
  <si>
    <t>Spot Size</t>
  </si>
  <si>
    <t>Not Reported</t>
  </si>
  <si>
    <t>Sb(III) (µg/kg)</t>
  </si>
  <si>
    <t>Sb(V) (µg/kg)</t>
  </si>
  <si>
    <t>Total Sb (µg/kg)</t>
  </si>
  <si>
    <t>&lt; LOD = Less than limit of detection</t>
  </si>
  <si>
    <t>Various dPODS</t>
  </si>
  <si>
    <t>Cr(III)</t>
  </si>
  <si>
    <t xml:space="preserve">Sb(III) </t>
  </si>
  <si>
    <t xml:space="preserve">Pb </t>
  </si>
  <si>
    <t>RFC, MRL, REL Source</t>
  </si>
  <si>
    <t>NA</t>
  </si>
  <si>
    <t>IUR/NSRL Source</t>
  </si>
  <si>
    <r>
      <t>Daily Dose (mg/m</t>
    </r>
    <r>
      <rPr>
        <i/>
        <vertAlign val="superscript"/>
        <sz val="10"/>
        <color theme="1"/>
        <rFont val="Arial"/>
        <family val="2"/>
      </rPr>
      <t>3</t>
    </r>
    <r>
      <rPr>
        <i/>
        <sz val="10"/>
        <color theme="1"/>
        <rFont val="Arial"/>
        <family val="2"/>
      </rPr>
      <t>)</t>
    </r>
  </si>
  <si>
    <t>Sb (mg/day)</t>
  </si>
  <si>
    <r>
      <t>Bolded values indicate cancer risk &gt; 10</t>
    </r>
    <r>
      <rPr>
        <i/>
        <vertAlign val="superscript"/>
        <sz val="10"/>
        <color theme="1"/>
        <rFont val="Arial"/>
        <family val="2"/>
      </rPr>
      <t xml:space="preserve">-5 </t>
    </r>
    <r>
      <rPr>
        <i/>
        <sz val="10"/>
        <color theme="1"/>
        <rFont val="Arial"/>
        <family val="2"/>
      </rPr>
      <t>or &gt; 1 (Sb only); 1 in 100,000 Cancer Risk</t>
    </r>
  </si>
  <si>
    <r>
      <t>Noncancer RFC/MRL/REL (mg/m</t>
    </r>
    <r>
      <rPr>
        <vertAlign val="superscript"/>
        <sz val="10"/>
        <color theme="1"/>
        <rFont val="Arial"/>
        <family val="2"/>
      </rPr>
      <t>3</t>
    </r>
    <r>
      <rPr>
        <sz val="10"/>
        <color theme="1"/>
        <rFont val="Arial"/>
        <family val="2"/>
      </rPr>
      <t>)</t>
    </r>
  </si>
  <si>
    <r>
      <t>IUR (m</t>
    </r>
    <r>
      <rPr>
        <vertAlign val="superscript"/>
        <sz val="10"/>
        <color theme="1"/>
        <rFont val="Arial"/>
        <family val="2"/>
      </rPr>
      <t>3</t>
    </r>
    <r>
      <rPr>
        <sz val="10"/>
        <color theme="1"/>
        <rFont val="Arial"/>
        <family val="2"/>
      </rPr>
      <t>/mg) / NSRL (mg/day)</t>
    </r>
  </si>
  <si>
    <t>Reference Value Types</t>
  </si>
  <si>
    <r>
      <t>JUUL (medians)</t>
    </r>
    <r>
      <rPr>
        <vertAlign val="superscript"/>
        <sz val="10"/>
        <color theme="1"/>
        <rFont val="Arial"/>
        <family val="2"/>
      </rPr>
      <t>2</t>
    </r>
  </si>
  <si>
    <r>
      <t>SMOK MOD (medians)</t>
    </r>
    <r>
      <rPr>
        <vertAlign val="superscript"/>
        <sz val="10"/>
        <color theme="1"/>
        <rFont val="Arial"/>
        <family val="2"/>
      </rPr>
      <t>2</t>
    </r>
  </si>
  <si>
    <t>18.03 ± 9.64</t>
  </si>
  <si>
    <t>85.03 ± 59.21</t>
  </si>
  <si>
    <t>224.86 ± 101.94</t>
  </si>
  <si>
    <t>3.48 ± 1.19</t>
  </si>
  <si>
    <t>1.36 ± 0.66</t>
  </si>
  <si>
    <t>0.36 ± 0.20</t>
  </si>
  <si>
    <t>31.69 ± 34.05</t>
  </si>
  <si>
    <t>113.80 ± 70.38</t>
  </si>
  <si>
    <t>354.81 ± 175.03</t>
  </si>
  <si>
    <t>4.77 ± 2.91</t>
  </si>
  <si>
    <t>2.45 ± 1.38</t>
  </si>
  <si>
    <t>0.37 ± 0.23</t>
  </si>
  <si>
    <t>0.08 ± 0.10</t>
  </si>
  <si>
    <t>12.56 ± 14.91</t>
  </si>
  <si>
    <t>54.49 ± 12.92</t>
  </si>
  <si>
    <t>145.80 ± 28.24</t>
  </si>
  <si>
    <t>1.63 ± 0.96</t>
  </si>
  <si>
    <t>1.72 ± 0.80</t>
  </si>
  <si>
    <t>3.27 ± 4.70</t>
  </si>
  <si>
    <t>10.75 ± 12.50</t>
  </si>
  <si>
    <t>40.53 ± 6.91</t>
  </si>
  <si>
    <t>0.45 ± 0.34</t>
  </si>
  <si>
    <t>0.99 ± 0.81</t>
  </si>
  <si>
    <t>1.06 ± 1.73</t>
  </si>
  <si>
    <t>2.34 ± 3.60</t>
  </si>
  <si>
    <t>5.11 ± 5.38</t>
  </si>
  <si>
    <t>0.44 ± 0.56</t>
  </si>
  <si>
    <t>9.15 ± 3.92</t>
  </si>
  <si>
    <t>108.21 ± 26.24</t>
  </si>
  <si>
    <t>258.20 ± 77.88</t>
  </si>
  <si>
    <t>0.05 ± 0.04</t>
  </si>
  <si>
    <t>4.74 ± 3.53</t>
  </si>
  <si>
    <t>0.81 ± 0.14</t>
  </si>
  <si>
    <t>3.43 ± 3.32</t>
  </si>
  <si>
    <t>34.42 ± 17.12</t>
  </si>
  <si>
    <t>282.26 ± 137.67</t>
  </si>
  <si>
    <t>3.14 ± 0.73</t>
  </si>
  <si>
    <t>0.90 ± 0.15</t>
  </si>
  <si>
    <t>2.89 ± 3.38</t>
  </si>
  <si>
    <t>21.67 ± 19.15</t>
  </si>
  <si>
    <t>162.72 ± 38.82</t>
  </si>
  <si>
    <t>2.24 ± 0.39</t>
  </si>
  <si>
    <t>0.57 ± 0.14</t>
  </si>
  <si>
    <t>1.46 ± 1.88</t>
  </si>
  <si>
    <t>10.26 ± 13.33</t>
  </si>
  <si>
    <t>52.46 ± 40.44</t>
  </si>
  <si>
    <t>1.01 ± 0.99</t>
  </si>
  <si>
    <t>0.31 ± 0.22</t>
  </si>
  <si>
    <t>0.57 ± 0.57</t>
  </si>
  <si>
    <t>4.69 ± 0.79</t>
  </si>
  <si>
    <t>9.90 ± 2.85</t>
  </si>
  <si>
    <t>0.26 ± 0.02</t>
  </si>
  <si>
    <t>0.14 ± 0.03</t>
  </si>
  <si>
    <t>0.78 ± 0.47</t>
  </si>
  <si>
    <t>63.70 ± 29.73</t>
  </si>
  <si>
    <t>0.80 ± 0.58</t>
  </si>
  <si>
    <t>106.17 ± 61.50</t>
  </si>
  <si>
    <t>0.27 ± 0.20</t>
  </si>
  <si>
    <t>37.10 ± 24.76</t>
  </si>
  <si>
    <t>0.23 ± 0.31</t>
  </si>
  <si>
    <t>19.72 ± 19.46</t>
  </si>
  <si>
    <t>2.39 ± 1.36</t>
  </si>
  <si>
    <t>1.67 ± 0.12</t>
  </si>
  <si>
    <t>118.14 ± 92.77</t>
  </si>
  <si>
    <t>2.63 ± 1.12</t>
  </si>
  <si>
    <t>127.63 ± 86.84</t>
  </si>
  <si>
    <t>1.31 ± 0.16</t>
  </si>
  <si>
    <t>77.99 ± 52.37</t>
  </si>
  <si>
    <t>0.42 ± 0.34</t>
  </si>
  <si>
    <t>27.13 ± 27.90</t>
  </si>
  <si>
    <t>0.17 ± 0.05</t>
  </si>
  <si>
    <t>11.73 ± 8.92</t>
  </si>
  <si>
    <t>0.85 ± 0.15</t>
  </si>
  <si>
    <t>1.29 ± 0.60</t>
  </si>
  <si>
    <t>1.32 ± 0.29</t>
  </si>
  <si>
    <t>1.20 ± 0.30</t>
  </si>
  <si>
    <t>1.28 ± 0.31</t>
  </si>
  <si>
    <t>11.41 ± 8.81</t>
  </si>
  <si>
    <t>1.56 ± 0.30</t>
  </si>
  <si>
    <t>1.28 ± 0.21</t>
  </si>
  <si>
    <t>1.70 ± 0.46</t>
  </si>
  <si>
    <t>1.51 ± 0.53</t>
  </si>
  <si>
    <t>1.71 ± 0.65</t>
  </si>
  <si>
    <t>16.30 ± 23.11</t>
  </si>
  <si>
    <t>2.88 ± 2.47</t>
  </si>
  <si>
    <t>1803.21 ± 964.21</t>
  </si>
  <si>
    <t>8503.44 ± 5921.43</t>
  </si>
  <si>
    <t>22485.89 ± 10194.30</t>
  </si>
  <si>
    <t>3.18 ± 0.58</t>
  </si>
  <si>
    <t>2.10 ± 1.11</t>
  </si>
  <si>
    <t>348.28 ± 119.45</t>
  </si>
  <si>
    <t>136.08 ± 66.23</t>
  </si>
  <si>
    <t>35.77 ± 20.05</t>
  </si>
  <si>
    <t>3169.46 ± 3405.20</t>
  </si>
  <si>
    <t>11379.89 ± 7038.06</t>
  </si>
  <si>
    <t>35480.60 ± 17502.53</t>
  </si>
  <si>
    <t>4.02 ± 1.26</t>
  </si>
  <si>
    <t>3.58 ± 2.89</t>
  </si>
  <si>
    <t>476.86 ± 290.50</t>
  </si>
  <si>
    <t>244.71 ± 137.93</t>
  </si>
  <si>
    <t>37.07 ± 22.71</t>
  </si>
  <si>
    <t>1255.91 ± 1490.74</t>
  </si>
  <si>
    <t>5448.63 ± 1292.44</t>
  </si>
  <si>
    <t>14579.91 ± 2824.07</t>
  </si>
  <si>
    <t>4.04 ± 1.50</t>
  </si>
  <si>
    <t>2.53 ± 2.80</t>
  </si>
  <si>
    <t>162.87 ± 95.56</t>
  </si>
  <si>
    <t>172.26 ± 79.52</t>
  </si>
  <si>
    <t>326.56 ± 470.49</t>
  </si>
  <si>
    <t>1074.90 ± 1250.15</t>
  </si>
  <si>
    <t>4053.03 ± 690.62</t>
  </si>
  <si>
    <t>2.60 ± 1.41</t>
  </si>
  <si>
    <t>1.21 ± 1.48</t>
  </si>
  <si>
    <t>45.36 ± 33.61</t>
  </si>
  <si>
    <t>99.32 ± 81.21</t>
  </si>
  <si>
    <t>105.74 ± 173.48</t>
  </si>
  <si>
    <t>234.42 ± 360.02</t>
  </si>
  <si>
    <t>511.10 ± 538.48</t>
  </si>
  <si>
    <t>1.19 ± 1.37</t>
  </si>
  <si>
    <t>0.17 ± 0.12</t>
  </si>
  <si>
    <t>44.16 ± 56.34</t>
  </si>
  <si>
    <t>914.86 ± 391.61</t>
  </si>
  <si>
    <t>10821.26 ± 2624.23</t>
  </si>
  <si>
    <t>25820.10 ± 7788.46</t>
  </si>
  <si>
    <t>3.19 ± 0.27</t>
  </si>
  <si>
    <t>5.03 ± 3.68</t>
  </si>
  <si>
    <t>474.23 ± 353.16</t>
  </si>
  <si>
    <t>80.80 ± 13.52</t>
  </si>
  <si>
    <t>343.14 ± 332.13</t>
  </si>
  <si>
    <t>3442.35 ± 1712.28</t>
  </si>
  <si>
    <t>28226.06 ± 13767.49</t>
  </si>
  <si>
    <t>3.24 ± 0.57</t>
  </si>
  <si>
    <t>9.50 ± 7.54</t>
  </si>
  <si>
    <t>314.27 ± 72.86</t>
  </si>
  <si>
    <t>89.96 ± 15.47</t>
  </si>
  <si>
    <t>288.91 ± 337.64</t>
  </si>
  <si>
    <t>2167.11 ± 1914.52</t>
  </si>
  <si>
    <t>16272.23 ± 3881.79</t>
  </si>
  <si>
    <t>2.60 ± 0.40</t>
  </si>
  <si>
    <t>5.02 ± 3.60</t>
  </si>
  <si>
    <t>224.05 ± 39.21</t>
  </si>
  <si>
    <t>56.96 ± 14.39</t>
  </si>
  <si>
    <t>145.54 ± 187.58</t>
  </si>
  <si>
    <t>1025.76 ± 1333.05</t>
  </si>
  <si>
    <t>5245.55 ± 4044.05</t>
  </si>
  <si>
    <t>1.56 ± 1.28</t>
  </si>
  <si>
    <t>2.07 ± 2.64</t>
  </si>
  <si>
    <t>101.16 ± 99.08</t>
  </si>
  <si>
    <t>30.80 ± 22.04</t>
  </si>
  <si>
    <t>56.87 ± 56.84</t>
  </si>
  <si>
    <t>468.98 ± 79.11</t>
  </si>
  <si>
    <t>990.16 ± 285.43</t>
  </si>
  <si>
    <t>0.54 ± 0.44</t>
  </si>
  <si>
    <t>0.66 ± 0.80</t>
  </si>
  <si>
    <t>26.12 ± 2.04</t>
  </si>
  <si>
    <t>13.76 ± 2.75</t>
  </si>
  <si>
    <t>77.88 ± 47.19</t>
  </si>
  <si>
    <t>6369.86 ± 2972.74</t>
  </si>
  <si>
    <t>79.90 ± 58.07</t>
  </si>
  <si>
    <t>10617.40 ± 6149.78</t>
  </si>
  <si>
    <t>27.49 ± 19.72</t>
  </si>
  <si>
    <t>3710.11 ± 2475.93</t>
  </si>
  <si>
    <t>22.84 ± 31.29</t>
  </si>
  <si>
    <t>1971.94 ± 1945.76</t>
  </si>
  <si>
    <t>1.82 ± 1.36</t>
  </si>
  <si>
    <t>239.50 ± 136.20</t>
  </si>
  <si>
    <t>166.73 ± 12.10</t>
  </si>
  <si>
    <t>11814.38 ± 9276.53</t>
  </si>
  <si>
    <t>262.71 ± 112.06</t>
  </si>
  <si>
    <t>12762.61 ± 8683.76</t>
  </si>
  <si>
    <t>130.80 ± 15.91</t>
  </si>
  <si>
    <t>7798.66 ± 5236.56</t>
  </si>
  <si>
    <t>42.43 ± 33.57</t>
  </si>
  <si>
    <t>2713.05 ± 2789.54</t>
  </si>
  <si>
    <t>17.32 ± 4.87</t>
  </si>
  <si>
    <t>1172.86 ± 892.11</t>
  </si>
  <si>
    <t>N/A</t>
  </si>
  <si>
    <t>38.29 ± 22.71</t>
  </si>
  <si>
    <t>0.20 ± 0.30</t>
  </si>
  <si>
    <t>0.08 ± 0.16</t>
  </si>
  <si>
    <t>190.13 ± 168.33</t>
  </si>
  <si>
    <t>337.63 ± 166.82</t>
  </si>
  <si>
    <t>0.47 ± 0.64</t>
  </si>
  <si>
    <t>0.18 ± 0.25</t>
  </si>
  <si>
    <t>52.24 ± 40.08</t>
  </si>
  <si>
    <t>0.17 ± 0.21</t>
  </si>
  <si>
    <t>67.33 ± 56.57</t>
  </si>
  <si>
    <t>0.47 ± 0.38</t>
  </si>
  <si>
    <t>102.20 ± 100.32</t>
  </si>
  <si>
    <t>5.93 ± 1.46</t>
  </si>
  <si>
    <t>0.66 ± 0.48</t>
  </si>
  <si>
    <t>82.81 ± 50.49</t>
  </si>
  <si>
    <t>7.75 ± 0.81</t>
  </si>
  <si>
    <t>60.04 ± 34.22</t>
  </si>
  <si>
    <t>1.06 ± 0.54</t>
  </si>
  <si>
    <t>666.22 ± 608.64</t>
  </si>
  <si>
    <t>88.15 ± 45.24</t>
  </si>
  <si>
    <t>6660.88 ± 6370.47</t>
  </si>
  <si>
    <t>26641.29 ± 13373.31</t>
  </si>
  <si>
    <t>77110.53 ± 27532.03</t>
  </si>
  <si>
    <t>15.02 ± 4.98</t>
  </si>
  <si>
    <t>9.59 ± 8.25</t>
  </si>
  <si>
    <t>1050.35 ± 484.14</t>
  </si>
  <si>
    <t>696.54 ± 374.62</t>
  </si>
  <si>
    <t>209.93 ± 139.10</t>
  </si>
  <si>
    <t>22908.81 ± 12745.16</t>
  </si>
  <si>
    <t>0.89 ± 40.47</t>
  </si>
  <si>
    <t>1730.36 ± 840.94</t>
  </si>
  <si>
    <t>17769.13 ± 3038.48</t>
  </si>
  <si>
    <t>76224.05 ± 12298.99</t>
  </si>
  <si>
    <t>10.96 ± 1.67</t>
  </si>
  <si>
    <t>22.06 ± 16.09</t>
  </si>
  <si>
    <t>1131.12 ± 533.37</t>
  </si>
  <si>
    <t>267.70 ± 47.27</t>
  </si>
  <si>
    <t>614.21 ± 156.51</t>
  </si>
  <si>
    <t>35870.61 ± 18771.10</t>
  </si>
  <si>
    <t>23.58 ± 9.17</t>
  </si>
  <si>
    <t>Risk Assessment Reference Values and Sources</t>
  </si>
  <si>
    <t>Hold Time 5</t>
  </si>
  <si>
    <t>Minimum</t>
  </si>
  <si>
    <t>Maxium</t>
  </si>
  <si>
    <t>STDEV</t>
  </si>
  <si>
    <t>Metthod LOD</t>
  </si>
  <si>
    <t>Method LOQ</t>
  </si>
  <si>
    <t>Digestion Method Blank 1</t>
  </si>
  <si>
    <t>Digestion Method Blank 2</t>
  </si>
  <si>
    <t>Digestion Method Blank 3</t>
  </si>
  <si>
    <t>Digestion Method Blank 4</t>
  </si>
  <si>
    <t>Digestion Method Blank 5</t>
  </si>
  <si>
    <t>Digestion Method Blank 6</t>
  </si>
  <si>
    <t>Digestion Method Blank 7</t>
  </si>
  <si>
    <t>Digestion Method Blank 8</t>
  </si>
  <si>
    <t>Digestion Method Blank 9</t>
  </si>
  <si>
    <t>Digestion Method Blank 10</t>
  </si>
  <si>
    <t>Digestion Method Blank 11</t>
  </si>
  <si>
    <t>Digestion Method Blank 12</t>
  </si>
  <si>
    <t>Digestion Method Blank 13</t>
  </si>
  <si>
    <t>Digestion Method Blank 14</t>
  </si>
  <si>
    <t>Digestion Method Blank 15</t>
  </si>
  <si>
    <t>Table S5.1: 100 - 500 puff Cumulative Element Masses (ng)</t>
  </si>
  <si>
    <t>Table S5.2: Flavoring and Nicotine Cumulative Mass Comparisons Statistical Analysis</t>
  </si>
  <si>
    <t>Table S6.1: Virgin vs Aged e-Liquid Element Concentrations Statistical Analysis (n = 1)</t>
  </si>
  <si>
    <t>Table S6.2: Aged e-Liquid Flavoring and Nicotine Element Concentration Differences Statistical Analysis (n = 1)</t>
  </si>
  <si>
    <t xml:space="preserve">Table S7.1: Aged e-Liquid &amp; 500-puff Aerosol Element Concentrations (µg/kg) </t>
  </si>
  <si>
    <t>Table S7.2: Linear Regression Statistical Analysis of Aged e-Liquid and 500-puff Aerosol Concentrations</t>
  </si>
  <si>
    <t>Table S9.1: Mean and Median Element Aerosol Concentration Comparisons (µg/kg) ± Standard Deviations</t>
  </si>
  <si>
    <t>Table S9.2: Orders of Magnitude Differences</t>
  </si>
  <si>
    <r>
      <rPr>
        <b/>
        <sz val="10"/>
        <color theme="1"/>
        <rFont val="Arial"/>
        <family val="2"/>
      </rPr>
      <t>Tables S5.1 - S5.2</t>
    </r>
    <r>
      <rPr>
        <sz val="10"/>
        <color theme="1"/>
        <rFont val="Arial"/>
        <family val="2"/>
      </rPr>
      <t>: Element masses (ng) were summed for all collections across 100 - 500 puffs for each device (n = 3) and across all collections for each fully aged device (n  = 1). Two tailed t-tests with two sample unequal variance were performed on elements masses of flavored, unflavored, and nicotine-free aerosols. Statistical significance (α) was set at 0.05.</t>
    </r>
  </si>
  <si>
    <t>Table S13.1: Largest Element Mass (ng) per Cigarette (Health Canada Intense Smoke Regimen)</t>
  </si>
  <si>
    <t>Table S13.2: Element Mass (ng) per 100 puffs of All dPOD Collections</t>
  </si>
  <si>
    <t>Table S13.3: Packs of Cigarettes Element Equivalents (Health Canada Intense Smoke Regimen)</t>
  </si>
  <si>
    <r>
      <rPr>
        <b/>
        <i/>
        <sz val="10"/>
        <color theme="1"/>
        <rFont val="Arial"/>
        <family val="2"/>
      </rPr>
      <t>Table S14</t>
    </r>
    <r>
      <rPr>
        <i/>
        <sz val="10"/>
        <color theme="1"/>
        <rFont val="Arial"/>
        <family val="2"/>
      </rPr>
      <t>: Liquid Chromatography ICP-MS (LC-ICP-MS) Sb Speciation Results</t>
    </r>
  </si>
  <si>
    <r>
      <rPr>
        <b/>
        <i/>
        <sz val="10"/>
        <color theme="1"/>
        <rFont val="Arial"/>
        <family val="2"/>
      </rPr>
      <t>Table S15:</t>
    </r>
    <r>
      <rPr>
        <i/>
        <sz val="10"/>
        <color theme="1"/>
        <rFont val="Arial"/>
        <family val="2"/>
      </rPr>
      <t xml:space="preserve"> Non-Cancer and Cancer Reference Values</t>
    </r>
  </si>
  <si>
    <t>Table S16: Non-Cancer and Cancer Risk Assessment</t>
  </si>
  <si>
    <r>
      <t xml:space="preserve">Table S17: </t>
    </r>
    <r>
      <rPr>
        <sz val="10"/>
        <color theme="1"/>
        <rFont val="Arial"/>
        <family val="2"/>
      </rPr>
      <t>Disposable e-Cigarettes (dPODs) e-liquids nicotine concentration (mg/mL), capacity (mL), pH, density (g/mL), aerosol mass per puff (mg/puff), total nicotine mass per device (mg), and nicotine equiavlents to cigarettes for each dPOD analyzed.</t>
    </r>
  </si>
  <si>
    <r>
      <t xml:space="preserve">Table S18: </t>
    </r>
    <r>
      <rPr>
        <sz val="10"/>
        <color theme="1"/>
        <rFont val="Arial"/>
        <family val="2"/>
      </rPr>
      <t>Instrument analysis parameters and equiptment for Single Quadrupole ICP-MS (Q-ICP-MS), Microwave Digester, Laser Ablation ICP-MS (LA-ICP-MS), and Liquid Chromatography ICP-MS (LC-ICP-MS)</t>
    </r>
    <r>
      <rPr>
        <b/>
        <sz val="10"/>
        <color theme="1"/>
        <rFont val="Arial"/>
        <family val="2"/>
      </rPr>
      <t>.</t>
    </r>
  </si>
  <si>
    <r>
      <rPr>
        <b/>
        <sz val="10"/>
        <color theme="1"/>
        <rFont val="Arial"/>
        <family val="2"/>
      </rPr>
      <t>Table S19</t>
    </r>
    <r>
      <rPr>
        <sz val="10"/>
        <color theme="1"/>
        <rFont val="Arial"/>
        <family val="2"/>
      </rPr>
      <t xml:space="preserve">: Aerosol element concentrations (µg/kg) collected with quartz wool compared to element concentrations in post-filter residual aerosol condesate collected from vaccuum tubing. Samples generated from a separate study using a 4th generation POD MOD e-cigarette using 2% nicotine salts with various organic acids. Metals in quartz wool-collected aerosols with concentrations greater than 20 µg/kg were recovered at less than 20.9% in the post-filter residual aerosol condensate suggesting effective cation scrubbing capability of the quartz wool filter. See </t>
    </r>
    <r>
      <rPr>
        <b/>
        <sz val="10"/>
        <color theme="1"/>
        <rFont val="Arial"/>
        <family val="2"/>
      </rPr>
      <t>SI Section 1.5</t>
    </r>
    <r>
      <rPr>
        <sz val="10"/>
        <color theme="1"/>
        <rFont val="Arial"/>
        <family val="2"/>
      </rPr>
      <t xml:space="preserve"> for more details. </t>
    </r>
  </si>
  <si>
    <r>
      <rPr>
        <b/>
        <sz val="10"/>
        <color theme="1"/>
        <rFont val="Arial"/>
        <family val="2"/>
      </rPr>
      <t>Tables S20.1 - S20.2</t>
    </r>
    <r>
      <rPr>
        <sz val="10"/>
        <color theme="1"/>
        <rFont val="Arial"/>
        <family val="2"/>
      </rPr>
      <t xml:space="preserve">: Instrument Limit of Detection (LOD) and Limit of Quantitation (LOQ) values for all elements across 13 analyses for this experiment. </t>
    </r>
  </si>
  <si>
    <t>Table S20.1: Iinstrument Limits of Dectection (LOD) (µg/L)</t>
  </si>
  <si>
    <t>Table S20.2: Instrument Limits of Quantitation (LOQ) (µg/L)</t>
  </si>
  <si>
    <t>Table S22.1: Method Blank Subtracted Concentrations (µg/L)</t>
  </si>
  <si>
    <t>Table S22.2: Spike Blank Subtracted Concentrations (µg/L)</t>
  </si>
  <si>
    <t>Table S22.3: Quartz Wool Spike Recovery % (50 µg/L)</t>
  </si>
  <si>
    <r>
      <rPr>
        <b/>
        <sz val="10"/>
        <color theme="1"/>
        <rFont val="Arial"/>
        <family val="2"/>
      </rPr>
      <t>Tables S6.1 - S6.2</t>
    </r>
    <r>
      <rPr>
        <sz val="10"/>
        <color theme="1"/>
        <rFont val="Arial"/>
        <family val="2"/>
      </rPr>
      <t xml:space="preserve">: Statistical analysis of virgin and aged, flavored and unflavored, and nicotine and nicotine-free e-liquids element concentration differences from a single device of each brand and flavor (n = 1). E-liquids measured in triplicate. Two tailed t-tests with two sample unequal variance were performed for all elements and e-liquids. Statistical significance (α) was set at 0.05. Elements less than 25 µg/kg were omitted due to the influence of background concentrations on elements with low signal intensities near to limits of quantitation (LOQ). </t>
    </r>
  </si>
  <si>
    <r>
      <rPr>
        <b/>
        <sz val="10"/>
        <color theme="1"/>
        <rFont val="Arial"/>
        <family val="2"/>
      </rPr>
      <t>Tables S2</t>
    </r>
    <r>
      <rPr>
        <sz val="10"/>
        <color theme="1"/>
        <rFont val="Arial"/>
        <family val="2"/>
      </rPr>
      <t>: Mean concentrations (µg/kg) ± SD of virign and 500-puff aged e-liquids for all dPOD analyzed in this study. All samples were extracted from a single device of each brand and flavor (n = 1). E-liquids measured in triplicate (</t>
    </r>
    <r>
      <rPr>
        <i/>
        <sz val="10"/>
        <color theme="1"/>
        <rFont val="Arial"/>
        <family val="2"/>
      </rPr>
      <t>n</t>
    </r>
    <r>
      <rPr>
        <sz val="10"/>
        <color theme="1"/>
        <rFont val="Arial"/>
        <family val="2"/>
      </rPr>
      <t xml:space="preserve"> = 3) using microwave digestion. See </t>
    </r>
    <r>
      <rPr>
        <b/>
        <sz val="10"/>
        <color theme="1"/>
        <rFont val="Arial"/>
        <family val="2"/>
      </rPr>
      <t>SI Section S1.3</t>
    </r>
    <r>
      <rPr>
        <sz val="10"/>
        <color theme="1"/>
        <rFont val="Arial"/>
        <family val="2"/>
      </rPr>
      <t xml:space="preserve"> for preparation details. </t>
    </r>
  </si>
  <si>
    <r>
      <rPr>
        <b/>
        <sz val="10"/>
        <color theme="1"/>
        <rFont val="Arial"/>
        <family val="2"/>
      </rPr>
      <t>Tables S22.1 - S22.3</t>
    </r>
    <r>
      <rPr>
        <sz val="10"/>
        <color theme="1"/>
        <rFont val="Arial"/>
        <family val="2"/>
      </rPr>
      <t>: Method validation data using spike recovery % of all elements analyzed. See SI Section 1.5 for more details.</t>
    </r>
  </si>
  <si>
    <r>
      <rPr>
        <b/>
        <sz val="10"/>
        <color theme="1"/>
        <rFont val="Arial"/>
        <family val="2"/>
      </rPr>
      <t>Table S21</t>
    </r>
    <r>
      <rPr>
        <sz val="10"/>
        <color theme="1"/>
        <rFont val="Arial"/>
        <family val="2"/>
      </rPr>
      <t xml:space="preserve">: Method blank and quartz wool (QW) air blank concentrations (µg/kg), statistics, method limits of detection (LOD), and method limits of quantitation (LOQ) for each element analyzed. LOD calculated by multiplying the standard deviation of all blanks by 3. LOQ calculated by multiplying standard deviation of all blanks by 10. See Section </t>
    </r>
    <r>
      <rPr>
        <b/>
        <sz val="10"/>
        <color theme="1"/>
        <rFont val="Arial"/>
        <family val="2"/>
      </rPr>
      <t>SI Section 1.5</t>
    </r>
    <r>
      <rPr>
        <sz val="10"/>
        <color theme="1"/>
        <rFont val="Arial"/>
        <family val="2"/>
      </rPr>
      <t xml:space="preserve"> for more details. </t>
    </r>
  </si>
  <si>
    <t>Cr QA Flag</t>
  </si>
  <si>
    <t>Estimate, &lt; LOQ</t>
  </si>
  <si>
    <t/>
  </si>
  <si>
    <t>Ni  QA Flag</t>
  </si>
  <si>
    <t>Cu  QA Flag</t>
  </si>
  <si>
    <t>Zn QA Flag</t>
  </si>
  <si>
    <t>As QA Flag</t>
  </si>
  <si>
    <t>Cd QA Flag</t>
  </si>
  <si>
    <t>Total Pb = 206Pb + 207Pb + 208Pb. &lt; LOD = Less than Limit of Determination (LOD). &lt; LOQ = Less than Limit of Quantitation (LOQ).</t>
  </si>
  <si>
    <t xml:space="preserve">Sn QA Flag </t>
  </si>
  <si>
    <t>Sb QA Flag</t>
  </si>
  <si>
    <t>Bi QA Flag</t>
  </si>
  <si>
    <t>Pb QA Flag</t>
  </si>
  <si>
    <t>5.81 ± 8.00</t>
  </si>
  <si>
    <t>24.40 ± 38.79</t>
  </si>
  <si>
    <t>9.65 ± 11.62</t>
  </si>
  <si>
    <t>13.65 ± 23.64</t>
  </si>
  <si>
    <t>2.83 ± 3.85</t>
  </si>
  <si>
    <t>23.14 ± 22.50</t>
  </si>
  <si>
    <t>8.57 ± 14.84</t>
  </si>
  <si>
    <t>0.20 ± 0.25</t>
  </si>
  <si>
    <t>0.05 ± 0.06</t>
  </si>
  <si>
    <t>0.14 ± 0.17</t>
  </si>
  <si>
    <t>0.04 ± 0.05</t>
  </si>
  <si>
    <t>0.00 ± 13.86</t>
  </si>
  <si>
    <t>0.00 ± 7.81</t>
  </si>
  <si>
    <t>0.00 ± 17.90</t>
  </si>
  <si>
    <t>0.00 ± 5.25</t>
  </si>
  <si>
    <t>0.00 ± 1.42</t>
  </si>
  <si>
    <t>2.46 ± 4.26</t>
  </si>
  <si>
    <t>32.78 ± 28.73</t>
  </si>
  <si>
    <t>6.67 ± 6.58</t>
  </si>
  <si>
    <t>40.66 ± 43.02</t>
  </si>
  <si>
    <t>9.69 ± 9.57</t>
  </si>
  <si>
    <t>15.10 ± 25.26</t>
  </si>
  <si>
    <t>55.98 ± 51.38</t>
  </si>
  <si>
    <t>8.36 ± 9.77</t>
  </si>
  <si>
    <t>3.65 ± 6.32</t>
  </si>
  <si>
    <t>5.18 ± 8.97</t>
  </si>
  <si>
    <t>9.43 ± 8.52</t>
  </si>
  <si>
    <t>16.51 ± 23.52</t>
  </si>
  <si>
    <t>8.53 ± 12.06</t>
  </si>
  <si>
    <t>24.88 ± 21.55</t>
  </si>
  <si>
    <t>2% Nicotine salt, 1:1 Benzoic Acid in 30:70 PG:VG used as the e-liquid for validation; Spike concentration  = 50 µg/L. &lt; LOD = Less than Method Blank.</t>
  </si>
  <si>
    <t>&lt; LOD = Less than Method Blank.</t>
  </si>
  <si>
    <t>16.51 ± 18.81</t>
  </si>
  <si>
    <t>0.05 ± 0.07</t>
  </si>
  <si>
    <t>8.65 ± 4.45</t>
  </si>
  <si>
    <t>16.93 ± 18.16</t>
  </si>
  <si>
    <t>10.45 ± 4.19</t>
  </si>
  <si>
    <t>14.57 ± 3.31</t>
  </si>
  <si>
    <t>19.35 ± 8.05</t>
  </si>
  <si>
    <t>33.09 ± 36.27</t>
  </si>
  <si>
    <t>13.29 ± 9.81</t>
  </si>
  <si>
    <t>Total Pb = 206Pb + 207Pb + 208Pb. &lt; LOD = Less than limit of detection.</t>
  </si>
  <si>
    <t xml:space="preserve">Total Pb = 206Pb + 207Pb + 208Pb. Bolded values indicate pack equivalent of element &gt; 1. </t>
  </si>
  <si>
    <t>0.12 ± 0.19</t>
  </si>
  <si>
    <t>0.11 ± 0.18</t>
  </si>
  <si>
    <t>0.09 ± 0.09</t>
  </si>
  <si>
    <t>0.25 ± 0.22</t>
  </si>
  <si>
    <t>0.08 ± 0.11</t>
  </si>
  <si>
    <t>0.10 ± 0.15</t>
  </si>
  <si>
    <t>0.26 ± 0.22</t>
  </si>
  <si>
    <t>0.35 ± 0.37</t>
  </si>
  <si>
    <t>0.14 ± 0.24</t>
  </si>
  <si>
    <t>0.21 ± 0.19</t>
  </si>
  <si>
    <t>0.06 ± 0.07</t>
  </si>
  <si>
    <t>0.14 ± 0.20</t>
  </si>
  <si>
    <t>0.23 ± 0.20</t>
  </si>
  <si>
    <t>7.60 ± 10.94</t>
  </si>
  <si>
    <t>2.78 ± 2.81</t>
  </si>
  <si>
    <t>4.37 ± 6.65</t>
  </si>
  <si>
    <t>9.55 ± 15.17</t>
  </si>
  <si>
    <t>3.12 ± 4.37</t>
  </si>
  <si>
    <t>1.20 ± 1.05</t>
  </si>
  <si>
    <t>7.51 ± 10.33</t>
  </si>
  <si>
    <t>24.78 ± 22.39</t>
  </si>
  <si>
    <t>1.87 ± 3.24</t>
  </si>
  <si>
    <t>6.35 ± 7.45</t>
  </si>
  <si>
    <t>25.52 ± 22.43</t>
  </si>
  <si>
    <t>5.13 ± 5.04</t>
  </si>
  <si>
    <t>7.79 ± 10.26</t>
  </si>
  <si>
    <t>3.02 ± 5.22</t>
  </si>
  <si>
    <t>34.80 ± 36.89</t>
  </si>
  <si>
    <t>4.42 ± 7.65</t>
  </si>
  <si>
    <t>1.03 ± 0.16</t>
  </si>
  <si>
    <t>0.11 ± 0.13</t>
  </si>
  <si>
    <t>1.06 ± 0.30</t>
  </si>
  <si>
    <t>8.08 ± 7.90</t>
  </si>
  <si>
    <t>7.87 ± 7.07</t>
  </si>
  <si>
    <t>13.98 ± 19.78</t>
  </si>
  <si>
    <t>14.16 ± 23.72</t>
  </si>
  <si>
    <t>7.67 ± 10.85</t>
  </si>
  <si>
    <t>22.79 ± 19.74</t>
  </si>
  <si>
    <t>12.13 ± 19.08</t>
  </si>
  <si>
    <t>3.47 ± 6.01</t>
  </si>
  <si>
    <t>20.97 ± 18.67</t>
  </si>
  <si>
    <t>3.10 ± 5.37</t>
  </si>
  <si>
    <t>0.58 ± 1.00</t>
  </si>
  <si>
    <t>11.48 ± 18.26</t>
  </si>
  <si>
    <t>8.97 ± 9.18</t>
  </si>
  <si>
    <t>&lt; iLOD</t>
  </si>
  <si>
    <t>Estimate, &lt; LOD</t>
  </si>
  <si>
    <t xml:space="preserve">Total Pb = 206Pb + 207Pb + 208Pb. &lt; iLOD = Less than instrument Limit of Determination (LOD). &lt; LOD = Less than method Limit of Determination (LOD) &lt; LOQ = Less than method Limit of Quantitation (LOQ). </t>
  </si>
  <si>
    <t>Bolded Sb values adjusted for mean relative abundance of Sb(III). &lt; iLOD = Less than instrument limit of detection (LOD).</t>
  </si>
  <si>
    <t xml:space="preserve">Total Pb = 206Pb + 207Pb + 208Pb. &lt; LOD = Less than method Limit of Determination (LOD) &lt; LOQ = Less than method Limit of Quantitation (LOQ). </t>
  </si>
  <si>
    <r>
      <rPr>
        <b/>
        <sz val="10"/>
        <color theme="1"/>
        <rFont val="Arial"/>
        <family val="2"/>
      </rPr>
      <t>Table S8:</t>
    </r>
    <r>
      <rPr>
        <sz val="10"/>
        <color theme="1"/>
        <rFont val="Arial"/>
        <family val="2"/>
      </rPr>
      <t xml:space="preserve"> Mean element concentrations (µg/kg) ± SD across 100 - 500 puff aerososls for ELF Bar and Flum Pebble and 100 - 300 puffs for Esco Bar. Esco Bars 400 - 500 puffs omitted due to the loss of device power after 300 puffs reducing aerosol generation. Values falling below the method LOD or LOQ are flagged to denote estimates with reduced quantitative reliability.</t>
    </r>
  </si>
  <si>
    <r>
      <rPr>
        <b/>
        <sz val="10"/>
        <color theme="1"/>
        <rFont val="Arial"/>
        <family val="2"/>
      </rPr>
      <t>Table S10</t>
    </r>
    <r>
      <rPr>
        <sz val="10"/>
        <color theme="1"/>
        <rFont val="Arial"/>
        <family val="2"/>
      </rPr>
      <t xml:space="preserve">: Aerosol Element Masses (ng/puff). Aerosol element mass per puff (100) (ng/puff) of all samples analyzed. Aerosols were collected using syringes filled with 0.35g of quartz wool attached to vaccuum lines. Quartz wool filters were microwave digested and remaining solutions were diluted to 20 mL at 5% HNO3. See </t>
    </r>
    <r>
      <rPr>
        <b/>
        <sz val="10"/>
        <color theme="1"/>
        <rFont val="Arial"/>
        <family val="2"/>
      </rPr>
      <t>SI Sections S1.4 - S1.5</t>
    </r>
    <r>
      <rPr>
        <sz val="10"/>
        <color theme="1"/>
        <rFont val="Arial"/>
        <family val="2"/>
      </rPr>
      <t xml:space="preserve"> for preparation details. Values falling below the method LOD or LOQ are flagged to denote estimates with reduced quantitative reliability.</t>
    </r>
  </si>
  <si>
    <r>
      <rPr>
        <b/>
        <sz val="10"/>
        <color theme="1"/>
        <rFont val="Arial"/>
        <family val="2"/>
      </rPr>
      <t>Table S11</t>
    </r>
    <r>
      <rPr>
        <sz val="10"/>
        <color theme="1"/>
        <rFont val="Arial"/>
        <family val="2"/>
      </rPr>
      <t xml:space="preserve">: Aerosol element masses (ng) of all samples analyzed for each 100 puff interval. Aerosols were collected using syringes filled with 0.35g of quartz wool attached to vaccuum lines. Quartz wool filters were microwave digested and remaining solutions were diluted to 20 mL at 5% HNO3. See </t>
    </r>
    <r>
      <rPr>
        <b/>
        <sz val="10"/>
        <color theme="1"/>
        <rFont val="Arial"/>
        <family val="2"/>
      </rPr>
      <t>SI Sections S1.4 - S1.5</t>
    </r>
    <r>
      <rPr>
        <sz val="10"/>
        <color theme="1"/>
        <rFont val="Arial"/>
        <family val="2"/>
      </rPr>
      <t xml:space="preserve"> for preparation details. Values falling below the method LOD or LOQ are flagged to denote estimates with reduced quantitative reliability.</t>
    </r>
  </si>
  <si>
    <r>
      <rPr>
        <b/>
        <sz val="10"/>
        <color theme="1"/>
        <rFont val="Arial"/>
        <family val="2"/>
      </rPr>
      <t>Table S12</t>
    </r>
    <r>
      <rPr>
        <sz val="10"/>
        <color theme="1"/>
        <rFont val="Arial"/>
        <family val="2"/>
      </rPr>
      <t xml:space="preserve">: Aerosol element concentrations (mg/m3) of all samples analyzed for each 100 puff interval. Aerosols were collected using syringes filled with 0.35g of quartz wool attached to vaccuum lines. Quartz wool filters were microwave digested to remove carbon from samples and extract elements from the quartz wool and diluted to 20 mL at 5% HNO3. See </t>
    </r>
    <r>
      <rPr>
        <b/>
        <sz val="10"/>
        <color theme="1"/>
        <rFont val="Arial"/>
        <family val="2"/>
      </rPr>
      <t>SI Sections S1.4 - S1.5</t>
    </r>
    <r>
      <rPr>
        <sz val="10"/>
        <color theme="1"/>
        <rFont val="Arial"/>
        <family val="2"/>
      </rPr>
      <t xml:space="preserve"> for preparation details. Values falling below the method LOD or LOQ are flagged to denote estimates with reduced quantitative reliability.</t>
    </r>
  </si>
  <si>
    <r>
      <rPr>
        <b/>
        <sz val="10"/>
        <color theme="1"/>
        <rFont val="Arial"/>
        <family val="2"/>
      </rPr>
      <t>Table S3</t>
    </r>
    <r>
      <rPr>
        <sz val="10"/>
        <color theme="1"/>
        <rFont val="Arial"/>
        <family val="2"/>
      </rPr>
      <t>: Aerosol element concentrations (µg/kg) of all samples analyzed. Aerosols were collected using syringes filled with 0.35g of quartz wool attached to vaccuum lines. Quartz wool filters were microwave digested and remaining solutions were diluted to 20 mL at 5% HNO</t>
    </r>
    <r>
      <rPr>
        <vertAlign val="subscript"/>
        <sz val="10"/>
        <color theme="1"/>
        <rFont val="Arial"/>
        <family val="2"/>
      </rPr>
      <t>3</t>
    </r>
    <r>
      <rPr>
        <sz val="10"/>
        <color theme="1"/>
        <rFont val="Arial"/>
        <family val="2"/>
      </rPr>
      <t xml:space="preserve">. See Supplementary Information for preparation details.See SI </t>
    </r>
    <r>
      <rPr>
        <b/>
        <sz val="10"/>
        <color theme="1"/>
        <rFont val="Arial"/>
        <family val="2"/>
      </rPr>
      <t>Sections S1.4 - S1.5</t>
    </r>
    <r>
      <rPr>
        <sz val="10"/>
        <color theme="1"/>
        <rFont val="Arial"/>
        <family val="2"/>
      </rPr>
      <t xml:space="preserve"> for preparation details. Values falling below the method LOD or LOQ are flagged to denote estimates with reduced quantitative reliability.</t>
    </r>
  </si>
  <si>
    <r>
      <rPr>
        <b/>
        <sz val="10"/>
        <color theme="1"/>
        <rFont val="Arial"/>
        <family val="2"/>
      </rPr>
      <t>Table S16</t>
    </r>
    <r>
      <rPr>
        <sz val="10"/>
        <color theme="1"/>
        <rFont val="Arial"/>
        <family val="2"/>
      </rPr>
      <t>: Non-cancer and cancer health risk assessment conducted for 100 - 500 puff samples (</t>
    </r>
    <r>
      <rPr>
        <i/>
        <sz val="10"/>
        <color theme="1"/>
        <rFont val="Arial"/>
        <family val="2"/>
      </rPr>
      <t xml:space="preserve">n </t>
    </r>
    <r>
      <rPr>
        <sz val="10"/>
        <color theme="1"/>
        <rFont val="Arial"/>
        <family val="2"/>
      </rPr>
      <t>= 3) and 100 - 1500 puffs (ELF Bar Flavored, ELF Bar Clear, Flum Pebble Flavored;</t>
    </r>
    <r>
      <rPr>
        <i/>
        <sz val="10"/>
        <color theme="1"/>
        <rFont val="Arial"/>
        <family val="2"/>
      </rPr>
      <t xml:space="preserve"> n</t>
    </r>
    <r>
      <rPr>
        <sz val="10"/>
        <color theme="1"/>
        <rFont val="Arial"/>
        <family val="2"/>
      </rPr>
      <t xml:space="preserve"> = 1) using reference values provided by the U.S EPA, ATSDR, and CalEPA. See </t>
    </r>
    <r>
      <rPr>
        <b/>
        <sz val="10"/>
        <color theme="1"/>
        <rFont val="Arial"/>
        <family val="2"/>
      </rPr>
      <t>Table S15</t>
    </r>
    <r>
      <rPr>
        <sz val="10"/>
        <color theme="1"/>
        <rFont val="Arial"/>
        <family val="2"/>
      </rPr>
      <t xml:space="preserve"> for reference values and sources. Daily Dose (mg/m</t>
    </r>
    <r>
      <rPr>
        <vertAlign val="superscript"/>
        <sz val="10"/>
        <color theme="1"/>
        <rFont val="Arial"/>
        <family val="2"/>
      </rPr>
      <t>3</t>
    </r>
    <r>
      <rPr>
        <sz val="10"/>
        <color theme="1"/>
        <rFont val="Arial"/>
        <family val="2"/>
      </rPr>
      <t xml:space="preserve">) data pulled from </t>
    </r>
    <r>
      <rPr>
        <b/>
        <sz val="10"/>
        <color theme="1"/>
        <rFont val="Arial"/>
        <family val="2"/>
      </rPr>
      <t>Table S12</t>
    </r>
    <r>
      <rPr>
        <sz val="10"/>
        <color theme="1"/>
        <rFont val="Arial"/>
        <family val="2"/>
      </rPr>
      <t xml:space="preserve">. See </t>
    </r>
    <r>
      <rPr>
        <b/>
        <sz val="10"/>
        <color theme="1"/>
        <rFont val="Arial"/>
        <family val="2"/>
      </rPr>
      <t>SI Section S1.7</t>
    </r>
    <r>
      <rPr>
        <sz val="10"/>
        <color theme="1"/>
        <rFont val="Arial"/>
        <family val="2"/>
      </rPr>
      <t xml:space="preserve"> for details on non-cancer and cancer risk assessment calculations. </t>
    </r>
  </si>
  <si>
    <r>
      <rPr>
        <b/>
        <sz val="10"/>
        <color theme="1"/>
        <rFont val="Arial"/>
        <family val="2"/>
      </rPr>
      <t>Table S4:</t>
    </r>
    <r>
      <rPr>
        <sz val="10"/>
        <color theme="1"/>
        <rFont val="Arial"/>
        <family val="2"/>
      </rPr>
      <t xml:space="preserve"> Linear regression analyses were performed on aerosol element concentrations (µg/kg) from </t>
    </r>
    <r>
      <rPr>
        <b/>
        <sz val="10"/>
        <color theme="1"/>
        <rFont val="Arial"/>
        <family val="2"/>
      </rPr>
      <t>Table S3</t>
    </r>
    <r>
      <rPr>
        <sz val="10"/>
        <color theme="1"/>
        <rFont val="Arial"/>
        <family val="2"/>
      </rPr>
      <t xml:space="preserve"> over the 100–300 and 100–500 puff intervals to assess linear trends with increasing puff count. Estimates below the limits of detection (LOD) or quantitation (LOQ) were excluded from the analyses. Data from the Esco Bar 100–500 puff interval were omitted due to device power loss between 300 and 400 puffs. Coefficients of determination (R²) greater than 0.7 are shown in bold.</t>
    </r>
  </si>
  <si>
    <r>
      <t>46.16</t>
    </r>
    <r>
      <rPr>
        <vertAlign val="superscript"/>
        <sz val="10"/>
        <color theme="1"/>
        <rFont val="Arial"/>
        <family val="2"/>
      </rPr>
      <t>a</t>
    </r>
  </si>
  <si>
    <r>
      <rPr>
        <vertAlign val="superscript"/>
        <sz val="10"/>
        <color theme="1"/>
        <rFont val="Arial"/>
        <family val="2"/>
      </rPr>
      <t>a</t>
    </r>
    <r>
      <rPr>
        <sz val="10"/>
        <color theme="1"/>
        <rFont val="Arial"/>
        <family val="2"/>
      </rPr>
      <t xml:space="preserve"> denotes an estimated value less than the limit of quantitation (&lt; LOQ)</t>
    </r>
  </si>
  <si>
    <r>
      <rPr>
        <b/>
        <sz val="10"/>
        <color theme="1"/>
        <rFont val="Arial"/>
        <family val="2"/>
      </rPr>
      <t>Tables S7.1 - S7.2</t>
    </r>
    <r>
      <rPr>
        <sz val="10"/>
        <color theme="1"/>
        <rFont val="Arial"/>
        <family val="2"/>
      </rPr>
      <t xml:space="preserve">: 500-puff aged e-liquid and 500-puff aerosol Cr and Ni concentrations (µg/kg) provided below for comparison. E-Liquid and aerosol samples collected from the same replicate device. Linear regression statisical analysis conducted on aged e-liquids and aged aerosols for ELF Bar and Flum Pebble samples. Esco Bars were excluded from statistical analysis due to the loss of power with all devices after 300 puffs. </t>
    </r>
  </si>
  <si>
    <t>Aged e-Liquids vs 500-puff Aerosols</t>
  </si>
  <si>
    <r>
      <rPr>
        <vertAlign val="superscript"/>
        <sz val="10"/>
        <color theme="1"/>
        <rFont val="Arial"/>
        <family val="2"/>
      </rPr>
      <t>b</t>
    </r>
    <r>
      <rPr>
        <sz val="10"/>
        <color theme="1"/>
        <rFont val="Arial"/>
        <family val="2"/>
      </rPr>
      <t xml:space="preserve"> denotes an estimated value less than method limit of detection (&lt; LOQ)</t>
    </r>
  </si>
  <si>
    <r>
      <rPr>
        <vertAlign val="superscript"/>
        <sz val="10"/>
        <color theme="1"/>
        <rFont val="Arial"/>
        <family val="2"/>
      </rPr>
      <t>a</t>
    </r>
    <r>
      <rPr>
        <sz val="10"/>
        <color theme="1"/>
        <rFont val="Arial"/>
        <family val="2"/>
      </rPr>
      <t xml:space="preserve"> denotes an estimated value less than method limit of detection (&lt; LOD)</t>
    </r>
  </si>
  <si>
    <r>
      <t>27.29 ± 9.07</t>
    </r>
    <r>
      <rPr>
        <vertAlign val="superscript"/>
        <sz val="10"/>
        <color theme="1"/>
        <rFont val="Arial"/>
        <family val="2"/>
      </rPr>
      <t>b</t>
    </r>
  </si>
  <si>
    <r>
      <t>30.35 ± 39.10</t>
    </r>
    <r>
      <rPr>
        <vertAlign val="superscript"/>
        <sz val="10"/>
        <color theme="1"/>
        <rFont val="Arial"/>
        <family val="2"/>
      </rPr>
      <t>b</t>
    </r>
  </si>
  <si>
    <r>
      <t>3.26 ± 12.24</t>
    </r>
    <r>
      <rPr>
        <vertAlign val="superscript"/>
        <sz val="10"/>
        <color theme="1"/>
        <rFont val="Arial"/>
        <family val="2"/>
      </rPr>
      <t>a</t>
    </r>
  </si>
  <si>
    <r>
      <t>9.75 ± 5.11</t>
    </r>
    <r>
      <rPr>
        <vertAlign val="superscript"/>
        <sz val="10"/>
        <color theme="1"/>
        <rFont val="Arial"/>
        <family val="2"/>
      </rPr>
      <t>a</t>
    </r>
  </si>
  <si>
    <r>
      <t>21.41 ± 18.72</t>
    </r>
    <r>
      <rPr>
        <vertAlign val="superscript"/>
        <sz val="10"/>
        <color theme="1"/>
        <rFont val="Arial"/>
        <family val="2"/>
      </rPr>
      <t>a</t>
    </r>
  </si>
  <si>
    <r>
      <t>26.50 ± 11.46</t>
    </r>
    <r>
      <rPr>
        <vertAlign val="superscript"/>
        <sz val="10"/>
        <color theme="1"/>
        <rFont val="Arial"/>
        <family val="2"/>
      </rPr>
      <t>b</t>
    </r>
  </si>
  <si>
    <r>
      <t>23.95 ± 9.58</t>
    </r>
    <r>
      <rPr>
        <vertAlign val="superscript"/>
        <sz val="10"/>
        <color theme="1"/>
        <rFont val="Arial"/>
        <family val="2"/>
      </rPr>
      <t>a</t>
    </r>
  </si>
  <si>
    <r>
      <t>51.87 ± 19.46</t>
    </r>
    <r>
      <rPr>
        <vertAlign val="superscript"/>
        <sz val="10"/>
        <color theme="1"/>
        <rFont val="Arial"/>
        <family val="2"/>
      </rPr>
      <t>b</t>
    </r>
  </si>
  <si>
    <r>
      <t>73.78 ± 33.26</t>
    </r>
    <r>
      <rPr>
        <vertAlign val="superscript"/>
        <sz val="10"/>
        <color theme="1"/>
        <rFont val="Arial"/>
        <family val="2"/>
      </rPr>
      <t>a</t>
    </r>
  </si>
  <si>
    <r>
      <t>164.07 ± 92.66</t>
    </r>
    <r>
      <rPr>
        <vertAlign val="superscript"/>
        <sz val="10"/>
        <color theme="1"/>
        <rFont val="Arial"/>
        <family val="2"/>
      </rPr>
      <t>b</t>
    </r>
  </si>
  <si>
    <r>
      <t>60.36 ± 18.44</t>
    </r>
    <r>
      <rPr>
        <vertAlign val="superscript"/>
        <sz val="10"/>
        <color theme="1"/>
        <rFont val="Arial"/>
        <family val="2"/>
      </rPr>
      <t>a</t>
    </r>
  </si>
  <si>
    <r>
      <t>113.11 ± 32.98</t>
    </r>
    <r>
      <rPr>
        <vertAlign val="superscript"/>
        <sz val="10"/>
        <color theme="1"/>
        <rFont val="Arial"/>
        <family val="2"/>
      </rPr>
      <t>b</t>
    </r>
  </si>
  <si>
    <r>
      <t>0.69 ± 0.17</t>
    </r>
    <r>
      <rPr>
        <vertAlign val="superscript"/>
        <sz val="10"/>
        <color theme="1"/>
        <rFont val="Arial"/>
        <family val="2"/>
      </rPr>
      <t>a</t>
    </r>
  </si>
  <si>
    <r>
      <t>2.87 ± 0.64</t>
    </r>
    <r>
      <rPr>
        <vertAlign val="superscript"/>
        <sz val="10"/>
        <color theme="1"/>
        <rFont val="Arial"/>
        <family val="2"/>
      </rPr>
      <t>b</t>
    </r>
  </si>
  <si>
    <r>
      <t>5.76 ± 3.13</t>
    </r>
    <r>
      <rPr>
        <vertAlign val="superscript"/>
        <sz val="10"/>
        <color theme="1"/>
        <rFont val="Arial"/>
        <family val="2"/>
      </rPr>
      <t>a</t>
    </r>
  </si>
  <si>
    <r>
      <t>7.11 ± 6.35</t>
    </r>
    <r>
      <rPr>
        <vertAlign val="superscript"/>
        <sz val="10"/>
        <color theme="1"/>
        <rFont val="Arial"/>
        <family val="2"/>
      </rPr>
      <t>a</t>
    </r>
  </si>
  <si>
    <r>
      <t>9.56 ± 4.18</t>
    </r>
    <r>
      <rPr>
        <vertAlign val="superscript"/>
        <sz val="10"/>
        <color theme="1"/>
        <rFont val="Arial"/>
        <family val="2"/>
      </rPr>
      <t>a</t>
    </r>
  </si>
  <si>
    <r>
      <t>7.79 ± 3.27</t>
    </r>
    <r>
      <rPr>
        <vertAlign val="superscript"/>
        <sz val="10"/>
        <color theme="1"/>
        <rFont val="Arial"/>
        <family val="2"/>
      </rPr>
      <t>a</t>
    </r>
  </si>
  <si>
    <r>
      <t>18.22 ± 9.00</t>
    </r>
    <r>
      <rPr>
        <vertAlign val="superscript"/>
        <sz val="10"/>
        <color theme="1"/>
        <rFont val="Arial"/>
        <family val="2"/>
      </rPr>
      <t>b</t>
    </r>
  </si>
  <si>
    <r>
      <t>Various dPODS (medians)</t>
    </r>
    <r>
      <rPr>
        <vertAlign val="superscript"/>
        <sz val="10"/>
        <color theme="1"/>
        <rFont val="Arial"/>
        <family val="2"/>
      </rPr>
      <t>3</t>
    </r>
  </si>
  <si>
    <r>
      <rPr>
        <vertAlign val="superscript"/>
        <sz val="10"/>
        <color theme="1"/>
        <rFont val="Arial"/>
        <family val="2"/>
      </rPr>
      <t>1</t>
    </r>
    <r>
      <rPr>
        <sz val="10"/>
        <color theme="1"/>
        <rFont val="Arial"/>
        <family val="2"/>
      </rPr>
      <t xml:space="preserve"> Olmedo, P.; Goessler, W.; Tanda, S.; Grau-Perez, M.; Jarmul, S.; Aherrera, A.; Chen, R.; Hilpert, M.; Cohen, J. E.; Navas-Acien, A.; Rule, A. M. Metal Concentrations in E-Cigarette Liquid and Aerosol Samples: The Contribution of Metallic Coils. Environ. Health Perspect. 2018, 126 (2), No. 027010.</t>
    </r>
  </si>
  <si>
    <r>
      <t>Various MODS (medians)</t>
    </r>
    <r>
      <rPr>
        <vertAlign val="superscript"/>
        <sz val="10"/>
        <color theme="1"/>
        <rFont val="Arial"/>
        <family val="2"/>
      </rPr>
      <t>1</t>
    </r>
  </si>
  <si>
    <r>
      <rPr>
        <b/>
        <sz val="10"/>
        <color theme="1"/>
        <rFont val="Arial"/>
        <family val="2"/>
      </rPr>
      <t>Tables S9.1 - S9.2</t>
    </r>
    <r>
      <rPr>
        <sz val="10"/>
        <color theme="1"/>
        <rFont val="Arial"/>
        <family val="2"/>
      </rPr>
      <t>: Tablulated data for comparisons between aerosol metal and metalloid concentrations (total Cr, Ni, Cu, Zn, total Sb, and Pb) between 3rd and 4th generation ENDS</t>
    </r>
    <r>
      <rPr>
        <vertAlign val="superscript"/>
        <sz val="10"/>
        <color theme="1"/>
        <rFont val="Arial"/>
        <family val="2"/>
      </rPr>
      <t>1,2</t>
    </r>
    <r>
      <rPr>
        <sz val="10"/>
        <color theme="1"/>
        <rFont val="Arial"/>
        <family val="2"/>
      </rPr>
      <t xml:space="preserve"> including dPODS</t>
    </r>
    <r>
      <rPr>
        <vertAlign val="superscript"/>
        <sz val="10"/>
        <color theme="1"/>
        <rFont val="Arial"/>
        <family val="2"/>
      </rPr>
      <t>3</t>
    </r>
    <r>
      <rPr>
        <sz val="10"/>
        <color theme="1"/>
        <rFont val="Arial"/>
        <family val="2"/>
      </rPr>
      <t xml:space="preserve"> and disposable devices tested in this study (Table S6, mean aerosol concentrations from 100 to 500 puffs of ELF Bar, n=9; Flum Pebble, n=6; and 100 to 300 puffs of Esco Bar, n=6). 3rd and 4th generation ENDS data included Olmedo et al. 2018 (3rd generation various MODs, n = 56)</t>
    </r>
    <r>
      <rPr>
        <vertAlign val="superscript"/>
        <sz val="10"/>
        <color theme="1"/>
        <rFont val="Arial"/>
        <family val="2"/>
      </rPr>
      <t>1</t>
    </r>
    <r>
      <rPr>
        <sz val="10"/>
        <color theme="1"/>
        <rFont val="Arial"/>
        <family val="2"/>
      </rPr>
      <t>, Zhao et al. 2019 (3rd generation SMOK MOD, n = 27; 4th generation JUUL, n = 9)</t>
    </r>
    <r>
      <rPr>
        <vertAlign val="superscript"/>
        <sz val="10"/>
        <color theme="1"/>
        <rFont val="Arial"/>
        <family val="2"/>
      </rPr>
      <t>2</t>
    </r>
    <r>
      <rPr>
        <sz val="10"/>
        <color theme="1"/>
        <rFont val="Arial"/>
        <family val="2"/>
      </rPr>
      <t>, and Aherrera et al 2023 (4th generation dPODs ZPOD, Bidi, and Stig, n = 23)</t>
    </r>
    <r>
      <rPr>
        <vertAlign val="superscript"/>
        <sz val="10"/>
        <color theme="1"/>
        <rFont val="Arial"/>
        <family val="2"/>
      </rPr>
      <t>3</t>
    </r>
    <r>
      <rPr>
        <sz val="10"/>
        <color theme="1"/>
        <rFont val="Arial"/>
        <family val="2"/>
      </rPr>
      <t>. Aherrera et al. 2023 data was pulled from the supplementary information, which provided aerosol concentrations in µg/kg for direct comparison.</t>
    </r>
    <r>
      <rPr>
        <vertAlign val="superscript"/>
        <sz val="10"/>
        <color theme="1"/>
        <rFont val="Arial"/>
        <family val="2"/>
      </rPr>
      <t>3</t>
    </r>
  </si>
  <si>
    <r>
      <rPr>
        <vertAlign val="superscript"/>
        <sz val="10"/>
        <color theme="1"/>
        <rFont val="Arial"/>
        <family val="2"/>
      </rPr>
      <t>3</t>
    </r>
    <r>
      <rPr>
        <sz val="10"/>
        <color theme="1"/>
        <rFont val="Arial"/>
        <family val="2"/>
      </rPr>
      <t xml:space="preserve"> Aherrera, A.; Lin, J. J.; Chen, R.; Tehrani, M.; Schultze, A.; Borole, A.; Tanda, S.; Goessler, W.; Rule, A. M. Metal Concentrations in E-Cigarette Aerosol Samples: A Comparison by Device Type and Flavor. Environ. Health Perspect. 2023, 131 (12), No. 127004.</t>
    </r>
  </si>
  <si>
    <r>
      <rPr>
        <vertAlign val="superscript"/>
        <sz val="10"/>
        <color theme="1"/>
        <rFont val="Arial"/>
        <family val="2"/>
      </rPr>
      <t>2</t>
    </r>
    <r>
      <rPr>
        <sz val="10"/>
        <color theme="1"/>
        <rFont val="Arial"/>
        <family val="2"/>
      </rPr>
      <t xml:space="preserve"> Zhao, D.; Navas−Acien, A.; Ilievski, V.; Slavkovich, V.; Olmedo, P.; Adria−Mora, B.; Domingo−Relloso, A.; Aherrera, A.; Kleiman, N. J.; Rule, A. M.; Hilpert, M. Metal Concentrations in Electronic Cigarette Aerosol: Effect of Open−System and Closed−System Devices and Power Settings. Environ. Res. 2019, 174, 125−134.</t>
    </r>
  </si>
  <si>
    <r>
      <t xml:space="preserve">Tables S13.1 - S13.3: </t>
    </r>
    <r>
      <rPr>
        <sz val="10"/>
        <color theme="1"/>
        <rFont val="Arial"/>
        <family val="2"/>
      </rPr>
      <t>Element masses (ng) from all e-cigarette aerosol samples (Table S9) were compared to element masses in cigarettes reported by Pappas et al. in a 2014 study</t>
    </r>
    <r>
      <rPr>
        <vertAlign val="superscript"/>
        <sz val="10"/>
        <color theme="1"/>
        <rFont val="Arial"/>
        <family val="2"/>
      </rPr>
      <t>1</t>
    </r>
    <r>
      <rPr>
        <sz val="10"/>
        <color theme="1"/>
        <rFont val="Arial"/>
        <family val="2"/>
      </rPr>
      <t xml:space="preserve"> on cigarette element emissions. Maxium values of cigarette element masses were used for comparison to e-cigarette emissions since this would highlight the contrast between these three dPODs brands and the most harmful cigarette brands on the American market. Comparisons were done in pack of cigarette equivalents to show how many packs of cigarettes one would need to smoke to be exposed to the same mass of a particular element in 100 puffs of each e-cigarette. See</t>
    </r>
    <r>
      <rPr>
        <b/>
        <sz val="10"/>
        <color theme="1"/>
        <rFont val="Arial"/>
        <family val="2"/>
      </rPr>
      <t xml:space="preserve"> SI Section S2.4</t>
    </r>
    <r>
      <rPr>
        <sz val="10"/>
        <color theme="1"/>
        <rFont val="Arial"/>
        <family val="2"/>
      </rPr>
      <t xml:space="preserve"> for more details.</t>
    </r>
  </si>
  <si>
    <r>
      <rPr>
        <i/>
        <vertAlign val="superscript"/>
        <sz val="10"/>
        <color theme="1"/>
        <rFont val="Arial"/>
        <family val="2"/>
      </rPr>
      <t>1</t>
    </r>
    <r>
      <rPr>
        <i/>
        <sz val="10"/>
        <color theme="1"/>
        <rFont val="Arial"/>
        <family val="2"/>
      </rPr>
      <t>Pappas, R. S.; Fresquez, M. R.; Martone, N.; Watson, C. H. Toxic Metal Concentrations in Mainstream Smoke from Cigarettes Available in the USA. J. Anal. Toxicol. 2014, 38 (4), 204−211.</t>
    </r>
  </si>
  <si>
    <r>
      <t>Data extracted from Pappas et al. 2014, Toxic Metal Concentrations in Mainstream Smoke from Cigarettes Available in the USA.</t>
    </r>
    <r>
      <rPr>
        <i/>
        <vertAlign val="superscript"/>
        <sz val="10"/>
        <color theme="1"/>
        <rFont val="Arial"/>
        <family val="2"/>
      </rPr>
      <t>1</t>
    </r>
    <r>
      <rPr>
        <i/>
        <sz val="10"/>
        <color theme="1"/>
        <rFont val="Arial"/>
        <family val="2"/>
      </rPr>
      <t xml:space="preserve"> All cigarettes analyzed  (n = 50) contained &lt; 1.1 ng of Cr per cigarette. American Spirit Natural contained the largest As and Cd masses of all cigarettes. Kool Green Menthol HP contained the most Mn mass. Marlboro Red 100s HP contained the most Ni mass. Benson &amp; Hedges Green HP Menthol contained the most Pb mass of all cigarettes.
</t>
    </r>
  </si>
  <si>
    <r>
      <rPr>
        <vertAlign val="superscript"/>
        <sz val="10"/>
        <color theme="1"/>
        <rFont val="Arial"/>
        <family val="2"/>
      </rPr>
      <t>10</t>
    </r>
    <r>
      <rPr>
        <sz val="10"/>
        <color theme="1"/>
        <rFont val="Arial"/>
        <family val="2"/>
      </rPr>
      <t>Office of Environmental Health Hazard Assessment (OEHHA). Final Statement of Reasons Title 27, California Code of Regulations. No Significant Risk Level: Antimony Trioxide; California Environmental Protection Agency (Cal EPA), 2023.</t>
    </r>
  </si>
  <si>
    <r>
      <rPr>
        <vertAlign val="superscript"/>
        <sz val="10"/>
        <color theme="1"/>
        <rFont val="Arial"/>
        <family val="2"/>
      </rPr>
      <t>9</t>
    </r>
    <r>
      <rPr>
        <sz val="10"/>
        <color theme="1"/>
        <rFont val="Arial"/>
        <family val="2"/>
      </rPr>
      <t>Office of Environmental Health Hazard Assessment (OEHHA). Initial Statement of Reasons: Antimony Trioxide; Proposition 65 Safe Harbors; California Environmental Protection Agency (Cal EPA), 2022.</t>
    </r>
  </si>
  <si>
    <r>
      <rPr>
        <vertAlign val="superscript"/>
        <sz val="10"/>
        <color theme="1"/>
        <rFont val="Arial"/>
        <family val="2"/>
      </rPr>
      <t>8</t>
    </r>
    <r>
      <rPr>
        <sz val="10"/>
        <color theme="1"/>
        <rFont val="Arial"/>
        <family val="2"/>
      </rPr>
      <t>United States Environmental Protection Agency (US EPA). Cadmium CASRN 7440-43-9 | IRIS | US EPA. https://iris.epa.gov/ChemicalLanding/&amp;substance_nmbr=141.</t>
    </r>
  </si>
  <si>
    <r>
      <rPr>
        <vertAlign val="superscript"/>
        <sz val="10"/>
        <color theme="1"/>
        <rFont val="Arial"/>
        <family val="2"/>
      </rPr>
      <t>7</t>
    </r>
    <r>
      <rPr>
        <sz val="10"/>
        <color theme="1"/>
        <rFont val="Arial"/>
        <family val="2"/>
      </rPr>
      <t>California Office of Environmental Health Hazard Assessment (OEHHA). Appendix A: Hot Spots Unit Risk and Cancer Potency Values; Proposition 65; California Environmental Protection Agency (Cal EPA): Sacramento, CA, 2023.</t>
    </r>
  </si>
  <si>
    <r>
      <rPr>
        <vertAlign val="superscript"/>
        <sz val="10"/>
        <color theme="1"/>
        <rFont val="Arial"/>
        <family val="2"/>
      </rPr>
      <t>6</t>
    </r>
    <r>
      <rPr>
        <sz val="10"/>
        <color theme="1"/>
        <rFont val="Arial"/>
        <family val="2"/>
      </rPr>
      <t>United States Environmental Protection Agency (US EPA). National Ambient Air Quality Standards (NAAQS) Table. https://www.epa.gov/criteria-air-pollutants/naaqs-table.</t>
    </r>
  </si>
  <si>
    <r>
      <rPr>
        <vertAlign val="superscript"/>
        <sz val="10"/>
        <color theme="1"/>
        <rFont val="Arial"/>
        <family val="2"/>
      </rPr>
      <t>5</t>
    </r>
    <r>
      <rPr>
        <sz val="10"/>
        <color theme="1"/>
        <rFont val="Arial"/>
        <family val="2"/>
      </rPr>
      <t>United States Environmental Protection Agency (US EPA). Antimony trioxide CASRN 1309-64-4 | IRIS | US EPA. https://iris.epa.gov/ChemicalLanding/&amp;substance_nmbr=676.</t>
    </r>
  </si>
  <si>
    <r>
      <rPr>
        <vertAlign val="superscript"/>
        <sz val="10"/>
        <color theme="1"/>
        <rFont val="Arial"/>
        <family val="2"/>
      </rPr>
      <t>4</t>
    </r>
    <r>
      <rPr>
        <sz val="10"/>
        <color theme="1"/>
        <rFont val="Arial"/>
        <family val="2"/>
      </rPr>
      <t>Agency for Toxic Substances and Disease Registry (ATSDR). Toxicological Profile for Cadmium; U.S. Department of Health and Human Services, Public Health Service: Atlanta, GA, 2008.</t>
    </r>
  </si>
  <si>
    <r>
      <rPr>
        <vertAlign val="superscript"/>
        <sz val="10"/>
        <color theme="1"/>
        <rFont val="Arial"/>
        <family val="2"/>
      </rPr>
      <t>3</t>
    </r>
    <r>
      <rPr>
        <sz val="10"/>
        <color theme="1"/>
        <rFont val="Arial"/>
        <family val="2"/>
      </rPr>
      <t>United States Environmental Protection Agency (US EPA). Arsine CASRN 7784-42-1 | IRIS | US EPA. https://iris.epa.gov/ChemicalLanding/&amp;substance_nmbr=672.</t>
    </r>
  </si>
  <si>
    <r>
      <rPr>
        <vertAlign val="superscript"/>
        <sz val="10"/>
        <color theme="1"/>
        <rFont val="Arial"/>
        <family val="2"/>
      </rPr>
      <t>2</t>
    </r>
    <r>
      <rPr>
        <sz val="10"/>
        <color theme="1"/>
        <rFont val="Arial"/>
        <family val="2"/>
      </rPr>
      <t>California Office of Environmental Health Hazard Assessment (OEHHA). Nickel and Nickel Compounds. https://oehha.ca.gov/chemicals/nickel-and-nickel-compounds</t>
    </r>
  </si>
  <si>
    <r>
      <rPr>
        <vertAlign val="superscript"/>
        <sz val="10"/>
        <color theme="1"/>
        <rFont val="Arial"/>
        <family val="2"/>
      </rPr>
      <t>1</t>
    </r>
    <r>
      <rPr>
        <sz val="10"/>
        <color theme="1"/>
        <rFont val="Arial"/>
        <family val="2"/>
      </rPr>
      <t>Agency for Toxic Substances and Disease Registry (ATSDR). Toxicological Profile for Chromium; U.S. Department of Health and Human Services, Public Health Service: Atlanta, GA, 2012.</t>
    </r>
  </si>
  <si>
    <r>
      <t>ATSDR (MRL)</t>
    </r>
    <r>
      <rPr>
        <vertAlign val="superscript"/>
        <sz val="10"/>
        <color theme="1"/>
        <rFont val="Arial"/>
        <family val="2"/>
      </rPr>
      <t>1</t>
    </r>
  </si>
  <si>
    <r>
      <t>OEHHA (Chronic Inhalation REL)</t>
    </r>
    <r>
      <rPr>
        <vertAlign val="superscript"/>
        <sz val="10"/>
        <color theme="1"/>
        <rFont val="Arial"/>
        <family val="2"/>
      </rPr>
      <t>2</t>
    </r>
  </si>
  <si>
    <r>
      <t>EPA Arsine (RFC)</t>
    </r>
    <r>
      <rPr>
        <vertAlign val="superscript"/>
        <sz val="10"/>
        <color theme="1"/>
        <rFont val="Arial"/>
        <family val="2"/>
      </rPr>
      <t>3</t>
    </r>
  </si>
  <si>
    <r>
      <t>ATSDR (MRL)</t>
    </r>
    <r>
      <rPr>
        <vertAlign val="superscript"/>
        <sz val="10"/>
        <color theme="1"/>
        <rFont val="Arial"/>
        <family val="2"/>
      </rPr>
      <t>4</t>
    </r>
  </si>
  <si>
    <r>
      <t>EPA IRIS (RFC)</t>
    </r>
    <r>
      <rPr>
        <vertAlign val="superscript"/>
        <sz val="10"/>
        <color theme="1"/>
        <rFont val="Arial"/>
        <family val="2"/>
      </rPr>
      <t>5</t>
    </r>
  </si>
  <si>
    <r>
      <t>NAAQS</t>
    </r>
    <r>
      <rPr>
        <vertAlign val="superscript"/>
        <sz val="10"/>
        <color theme="1"/>
        <rFont val="Arial"/>
        <family val="2"/>
      </rPr>
      <t>6</t>
    </r>
  </si>
  <si>
    <r>
      <t>OEHHA Appenidix A (IUR)</t>
    </r>
    <r>
      <rPr>
        <vertAlign val="superscript"/>
        <sz val="10"/>
        <color theme="1"/>
        <rFont val="Arial"/>
        <family val="2"/>
      </rPr>
      <t>7</t>
    </r>
  </si>
  <si>
    <r>
      <t>EPA IRIS (IUR)</t>
    </r>
    <r>
      <rPr>
        <vertAlign val="superscript"/>
        <sz val="10"/>
        <color theme="1"/>
        <rFont val="Arial"/>
        <family val="2"/>
      </rPr>
      <t>8</t>
    </r>
  </si>
  <si>
    <r>
      <t>OEHHA Antimony Trioxide (NSRL)</t>
    </r>
    <r>
      <rPr>
        <vertAlign val="superscript"/>
        <sz val="10"/>
        <color theme="1"/>
        <rFont val="Arial"/>
        <family val="2"/>
      </rPr>
      <t>9,10</t>
    </r>
  </si>
  <si>
    <t>Agilent 8900 ICP-MS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</si>
</sst>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0.0"/>
  </numFmts>
  <fonts count="16" x14ac:knownFonts="1">
    <font>
      <sz val="11"/>
      <color theme="1"/>
      <name val="Calibri"/>
      <family val="2"/>
      <scheme val="minor"/>
    </font>
    <font>
      <i/>
      <sz val="10"/>
      <color theme="1"/>
      <name val="Arial"/>
      <family val="2"/>
    </font>
    <font>
      <sz val="10"/>
      <color theme="1"/>
      <name val="Arial"/>
      <family val="2"/>
    </font>
    <font>
      <b/>
      <sz val="10"/>
      <color theme="1"/>
      <name val="Arial"/>
      <family val="2"/>
    </font>
    <font>
      <sz val="10"/>
      <color rgb="FF000000"/>
      <name val="Arial"/>
      <family val="2"/>
    </font>
    <font>
      <b/>
      <sz val="10"/>
      <color rgb="FF000000"/>
      <name val="Arial"/>
      <family val="2"/>
    </font>
    <font>
      <i/>
      <sz val="10"/>
      <color rgb="FF000000"/>
      <name val="Arial"/>
      <family val="2"/>
    </font>
    <font>
      <b/>
      <i/>
      <sz val="10"/>
      <color theme="1"/>
      <name val="Arial"/>
      <family val="2"/>
    </font>
    <font>
      <vertAlign val="superscript"/>
      <sz val="10"/>
      <color theme="1"/>
      <name val="Arial"/>
      <family val="2"/>
    </font>
    <font>
      <i/>
      <vertAlign val="superscript"/>
      <sz val="10"/>
      <color theme="1"/>
      <name val="Arial"/>
      <family val="2"/>
    </font>
    <font>
      <b/>
      <i/>
      <sz val="10"/>
      <color rgb="FF000000"/>
      <name val="Arial"/>
      <family val="2"/>
    </font>
    <font>
      <sz val="8"/>
      <name val="Calibri"/>
      <family val="2"/>
      <scheme val="minor"/>
    </font>
    <font>
      <vertAlign val="subscript"/>
      <sz val="10"/>
      <color theme="1"/>
      <name val="Arial"/>
      <family val="2"/>
    </font>
    <font>
      <b/>
      <sz val="14"/>
      <color theme="1"/>
      <name val="Arial"/>
      <family val="2"/>
    </font>
    <font>
      <sz val="10"/>
      <color theme="1"/>
      <name val="Aptos Narrow"/>
      <family val="2"/>
    </font>
    <font>
      <sz val="9"/>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right/>
      <top/>
      <bottom style="medium">
        <color indexed="64"/>
      </bottom>
      <diagonal/>
    </border>
    <border>
      <left/>
      <right/>
      <top style="medium">
        <color indexed="64"/>
      </top>
      <bottom style="thin">
        <color indexed="64"/>
      </bottom>
      <diagonal/>
    </border>
    <border>
      <left/>
      <right/>
      <top style="thin">
        <color indexed="64"/>
      </top>
      <bottom/>
      <diagonal/>
    </border>
  </borders>
  <cellStyleXfs count="1">
    <xf numFmtId="0" fontId="0" fillId="0" borderId="0"/>
  </cellStyleXfs>
  <cellXfs count="175">
    <xf numFmtId="0" fontId="0" fillId="0" borderId="0" xfId="0"/>
    <xf numFmtId="0" fontId="2" fillId="2" borderId="0" xfId="0" applyFont="1" applyFill="1"/>
    <xf numFmtId="0" fontId="1" fillId="2" borderId="2" xfId="0" applyFont="1" applyFill="1" applyBorder="1"/>
    <xf numFmtId="0" fontId="2" fillId="2" borderId="2" xfId="0" applyFont="1" applyFill="1" applyBorder="1"/>
    <xf numFmtId="0" fontId="2" fillId="2" borderId="2" xfId="0" applyFont="1" applyFill="1" applyBorder="1" applyAlignment="1">
      <alignment horizontal="center"/>
    </xf>
    <xf numFmtId="0" fontId="2" fillId="2" borderId="0" xfId="0" applyFont="1" applyFill="1" applyAlignment="1">
      <alignment horizontal="center"/>
    </xf>
    <xf numFmtId="0" fontId="3" fillId="2" borderId="3" xfId="0" applyFont="1" applyFill="1" applyBorder="1" applyAlignment="1">
      <alignment horizontal="left" vertical="center"/>
    </xf>
    <xf numFmtId="0" fontId="3" fillId="2" borderId="3" xfId="0" applyFont="1" applyFill="1" applyBorder="1" applyAlignment="1">
      <alignment horizontal="center" vertical="center"/>
    </xf>
    <xf numFmtId="0" fontId="2" fillId="2" borderId="2" xfId="0" applyFont="1" applyFill="1" applyBorder="1" applyAlignment="1">
      <alignment vertical="center"/>
    </xf>
    <xf numFmtId="0" fontId="2" fillId="2" borderId="2" xfId="0" applyFont="1" applyFill="1" applyBorder="1" applyAlignment="1">
      <alignment horizontal="center" vertical="center"/>
    </xf>
    <xf numFmtId="0" fontId="2" fillId="2" borderId="0" xfId="0" applyFont="1" applyFill="1" applyAlignment="1">
      <alignment vertical="center"/>
    </xf>
    <xf numFmtId="0" fontId="2" fillId="2" borderId="0" xfId="0" applyFont="1" applyFill="1" applyAlignment="1">
      <alignment horizontal="center" vertical="center"/>
    </xf>
    <xf numFmtId="0" fontId="3" fillId="2" borderId="0" xfId="0" applyFont="1" applyFill="1" applyAlignment="1">
      <alignment vertical="center"/>
    </xf>
    <xf numFmtId="0" fontId="2" fillId="2" borderId="1" xfId="0" applyFont="1" applyFill="1" applyBorder="1" applyAlignment="1">
      <alignment vertical="center"/>
    </xf>
    <xf numFmtId="0" fontId="2" fillId="2" borderId="1" xfId="0" applyFont="1" applyFill="1" applyBorder="1" applyAlignment="1">
      <alignment horizontal="center" vertical="center"/>
    </xf>
    <xf numFmtId="0" fontId="5" fillId="2" borderId="3" xfId="0" applyFont="1" applyFill="1" applyBorder="1" applyAlignment="1">
      <alignment horizontal="center" vertical="center"/>
    </xf>
    <xf numFmtId="164" fontId="4" fillId="2" borderId="0" xfId="0" applyNumberFormat="1" applyFont="1" applyFill="1" applyAlignment="1">
      <alignment horizontal="left" vertical="center" wrapText="1"/>
    </xf>
    <xf numFmtId="1" fontId="4" fillId="2" borderId="0" xfId="0" applyNumberFormat="1" applyFont="1" applyFill="1" applyAlignment="1">
      <alignment horizontal="center" vertical="center"/>
    </xf>
    <xf numFmtId="0" fontId="4" fillId="2" borderId="0" xfId="0" applyFont="1" applyFill="1" applyAlignment="1">
      <alignment horizontal="center" vertical="center" wrapText="1"/>
    </xf>
    <xf numFmtId="164" fontId="4" fillId="2" borderId="1" xfId="0" applyNumberFormat="1" applyFont="1" applyFill="1" applyBorder="1" applyAlignment="1">
      <alignment horizontal="left"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65" fontId="2" fillId="2" borderId="1" xfId="0" applyNumberFormat="1" applyFont="1" applyFill="1" applyBorder="1" applyAlignment="1">
      <alignment horizontal="center" vertical="center"/>
    </xf>
    <xf numFmtId="164" fontId="4" fillId="2" borderId="0" xfId="0" applyNumberFormat="1" applyFont="1" applyFill="1" applyAlignment="1">
      <alignment horizontal="left" vertical="center"/>
    </xf>
    <xf numFmtId="0" fontId="2" fillId="2" borderId="0" xfId="0" applyFont="1" applyFill="1" applyAlignment="1">
      <alignment horizontal="left" vertical="center"/>
    </xf>
    <xf numFmtId="0" fontId="5" fillId="2" borderId="3" xfId="0" applyFont="1" applyFill="1" applyBorder="1" applyAlignment="1">
      <alignment horizontal="left" vertical="center"/>
    </xf>
    <xf numFmtId="1" fontId="2" fillId="2" borderId="0" xfId="0" applyNumberFormat="1" applyFont="1" applyFill="1" applyAlignment="1">
      <alignment horizontal="center"/>
    </xf>
    <xf numFmtId="0" fontId="1" fillId="2" borderId="0" xfId="0" applyFont="1" applyFill="1" applyAlignment="1">
      <alignment vertical="center"/>
    </xf>
    <xf numFmtId="11" fontId="2" fillId="2" borderId="0" xfId="0" applyNumberFormat="1" applyFont="1" applyFill="1"/>
    <xf numFmtId="1" fontId="3" fillId="2" borderId="3" xfId="0" applyNumberFormat="1" applyFont="1" applyFill="1" applyBorder="1" applyAlignment="1">
      <alignment horizontal="center" vertical="center"/>
    </xf>
    <xf numFmtId="1" fontId="3" fillId="2" borderId="0" xfId="0" applyNumberFormat="1" applyFont="1" applyFill="1" applyAlignment="1">
      <alignment horizontal="center" vertical="center"/>
    </xf>
    <xf numFmtId="11" fontId="3" fillId="2" borderId="3" xfId="0" applyNumberFormat="1" applyFont="1" applyFill="1" applyBorder="1" applyAlignment="1">
      <alignment horizontal="center" vertical="center"/>
    </xf>
    <xf numFmtId="1" fontId="2" fillId="2" borderId="4" xfId="0" applyNumberFormat="1" applyFont="1" applyFill="1" applyBorder="1" applyAlignment="1">
      <alignment horizontal="center" vertical="center"/>
    </xf>
    <xf numFmtId="1" fontId="2" fillId="2" borderId="0" xfId="0" applyNumberFormat="1" applyFont="1" applyFill="1" applyAlignment="1">
      <alignment horizontal="center" vertical="center"/>
    </xf>
    <xf numFmtId="11" fontId="2" fillId="2" borderId="4" xfId="0" applyNumberFormat="1" applyFont="1" applyFill="1" applyBorder="1" applyAlignment="1">
      <alignment vertical="center"/>
    </xf>
    <xf numFmtId="11" fontId="1" fillId="2" borderId="0" xfId="0" applyNumberFormat="1" applyFont="1" applyFill="1" applyAlignment="1">
      <alignment horizontal="center" vertical="center"/>
    </xf>
    <xf numFmtId="11" fontId="2" fillId="2" borderId="0" xfId="0" applyNumberFormat="1" applyFont="1" applyFill="1" applyAlignment="1">
      <alignment vertical="center"/>
    </xf>
    <xf numFmtId="11" fontId="1" fillId="2" borderId="1" xfId="0" applyNumberFormat="1" applyFont="1" applyFill="1" applyBorder="1" applyAlignment="1">
      <alignment horizontal="center" vertical="center"/>
    </xf>
    <xf numFmtId="1" fontId="2" fillId="2" borderId="1" xfId="0" applyNumberFormat="1" applyFont="1" applyFill="1" applyBorder="1" applyAlignment="1">
      <alignment horizontal="center" vertical="center"/>
    </xf>
    <xf numFmtId="11" fontId="2" fillId="2" borderId="1" xfId="0" applyNumberFormat="1" applyFont="1" applyFill="1" applyBorder="1" applyAlignment="1">
      <alignment vertical="center"/>
    </xf>
    <xf numFmtId="1" fontId="1" fillId="2" borderId="0" xfId="0" applyNumberFormat="1" applyFont="1" applyFill="1" applyAlignment="1">
      <alignment horizontal="center" vertical="center"/>
    </xf>
    <xf numFmtId="11" fontId="1" fillId="2" borderId="1" xfId="0" applyNumberFormat="1" applyFont="1" applyFill="1" applyBorder="1" applyAlignment="1">
      <alignment vertical="center"/>
    </xf>
    <xf numFmtId="1" fontId="1" fillId="2" borderId="1" xfId="0" applyNumberFormat="1" applyFont="1" applyFill="1" applyBorder="1" applyAlignment="1">
      <alignment horizontal="center" vertical="center"/>
    </xf>
    <xf numFmtId="11" fontId="1" fillId="2" borderId="0" xfId="0" applyNumberFormat="1" applyFont="1" applyFill="1" applyAlignment="1">
      <alignment vertical="center"/>
    </xf>
    <xf numFmtId="0" fontId="3" fillId="2" borderId="0" xfId="0" applyFont="1" applyFill="1" applyAlignment="1">
      <alignment horizontal="center" vertical="center"/>
    </xf>
    <xf numFmtId="166" fontId="2" fillId="2" borderId="0" xfId="0" applyNumberFormat="1" applyFont="1" applyFill="1" applyAlignment="1">
      <alignment horizontal="center" vertical="center"/>
    </xf>
    <xf numFmtId="0" fontId="1" fillId="2" borderId="0" xfId="0" applyFont="1" applyFill="1" applyAlignment="1">
      <alignment horizontal="left" vertical="top" wrapText="1"/>
    </xf>
    <xf numFmtId="1" fontId="4" fillId="2" borderId="1" xfId="0" applyNumberFormat="1" applyFont="1" applyFill="1" applyBorder="1" applyAlignment="1">
      <alignment horizontal="center" vertical="center"/>
    </xf>
    <xf numFmtId="1" fontId="2" fillId="2" borderId="0" xfId="0" applyNumberFormat="1" applyFont="1" applyFill="1" applyAlignment="1">
      <alignment vertical="center"/>
    </xf>
    <xf numFmtId="165" fontId="2" fillId="2" borderId="0" xfId="0" applyNumberFormat="1" applyFont="1" applyFill="1" applyAlignment="1">
      <alignment horizontal="center" vertical="center"/>
    </xf>
    <xf numFmtId="0" fontId="3" fillId="2" borderId="1" xfId="0" applyFont="1" applyFill="1" applyBorder="1" applyAlignment="1">
      <alignment horizontal="left" vertical="center"/>
    </xf>
    <xf numFmtId="0" fontId="1" fillId="2" borderId="0" xfId="0" applyFont="1" applyFill="1" applyAlignment="1">
      <alignment vertical="top"/>
    </xf>
    <xf numFmtId="11" fontId="1" fillId="2" borderId="0" xfId="0" applyNumberFormat="1" applyFont="1" applyFill="1" applyAlignment="1">
      <alignment vertical="top"/>
    </xf>
    <xf numFmtId="164" fontId="2" fillId="2" borderId="0" xfId="0" applyNumberFormat="1" applyFont="1" applyFill="1" applyAlignment="1">
      <alignment vertical="center"/>
    </xf>
    <xf numFmtId="2" fontId="2" fillId="2" borderId="0" xfId="0" applyNumberFormat="1" applyFont="1" applyFill="1" applyAlignment="1">
      <alignment horizontal="center" vertical="center"/>
    </xf>
    <xf numFmtId="164" fontId="2" fillId="2" borderId="0" xfId="0" applyNumberFormat="1" applyFont="1" applyFill="1" applyAlignment="1">
      <alignment horizontal="center" vertical="center"/>
    </xf>
    <xf numFmtId="0" fontId="2" fillId="2" borderId="1" xfId="0" applyFont="1" applyFill="1" applyBorder="1" applyAlignment="1">
      <alignment horizontal="left" vertical="center"/>
    </xf>
    <xf numFmtId="164" fontId="2" fillId="2" borderId="1" xfId="0" applyNumberFormat="1" applyFont="1" applyFill="1" applyBorder="1" applyAlignment="1">
      <alignment horizontal="center" vertical="center"/>
    </xf>
    <xf numFmtId="0" fontId="1" fillId="2" borderId="0" xfId="0" applyFont="1" applyFill="1" applyAlignment="1">
      <alignment horizontal="left" vertical="top"/>
    </xf>
    <xf numFmtId="2" fontId="2" fillId="2" borderId="1" xfId="0" applyNumberFormat="1" applyFont="1" applyFill="1" applyBorder="1" applyAlignment="1">
      <alignment horizontal="center" vertical="center"/>
    </xf>
    <xf numFmtId="164" fontId="4" fillId="2" borderId="0" xfId="0" applyNumberFormat="1" applyFont="1" applyFill="1" applyAlignment="1">
      <alignment horizontal="center" vertical="center"/>
    </xf>
    <xf numFmtId="0" fontId="1" fillId="2" borderId="2" xfId="0" applyFont="1" applyFill="1" applyBorder="1" applyAlignment="1">
      <alignment horizontal="left"/>
    </xf>
    <xf numFmtId="2" fontId="4" fillId="2" borderId="0" xfId="0" applyNumberFormat="1" applyFont="1" applyFill="1" applyAlignment="1">
      <alignment horizontal="center" vertical="center"/>
    </xf>
    <xf numFmtId="2" fontId="4" fillId="2" borderId="1" xfId="0" applyNumberFormat="1" applyFont="1" applyFill="1" applyBorder="1" applyAlignment="1">
      <alignment horizontal="center" vertical="center"/>
    </xf>
    <xf numFmtId="164" fontId="2" fillId="2" borderId="0" xfId="0" applyNumberFormat="1" applyFont="1" applyFill="1" applyAlignment="1">
      <alignment horizontal="right" vertical="center"/>
    </xf>
    <xf numFmtId="164" fontId="2" fillId="2" borderId="2" xfId="0" applyNumberFormat="1" applyFont="1" applyFill="1" applyBorder="1" applyAlignment="1">
      <alignment horizontal="right" vertical="center"/>
    </xf>
    <xf numFmtId="164" fontId="3" fillId="2" borderId="3" xfId="0" applyNumberFormat="1" applyFont="1" applyFill="1" applyBorder="1" applyAlignment="1">
      <alignment horizontal="center" vertical="center"/>
    </xf>
    <xf numFmtId="164" fontId="4" fillId="2" borderId="1" xfId="0" applyNumberFormat="1" applyFont="1" applyFill="1" applyBorder="1" applyAlignment="1">
      <alignment horizontal="left" vertical="center"/>
    </xf>
    <xf numFmtId="0" fontId="2" fillId="2" borderId="0" xfId="0" applyFont="1" applyFill="1" applyAlignment="1">
      <alignment horizontal="center" vertical="center" wrapText="1"/>
    </xf>
    <xf numFmtId="0" fontId="2" fillId="2" borderId="0" xfId="0" applyFont="1" applyFill="1" applyAlignment="1">
      <alignment vertical="center" wrapText="1"/>
    </xf>
    <xf numFmtId="1" fontId="4" fillId="2" borderId="0" xfId="0" applyNumberFormat="1" applyFont="1" applyFill="1" applyAlignment="1">
      <alignment horizontal="center" vertical="center" wrapText="1"/>
    </xf>
    <xf numFmtId="166" fontId="4" fillId="2" borderId="0" xfId="0" applyNumberFormat="1" applyFont="1" applyFill="1" applyAlignment="1">
      <alignment horizontal="center" vertical="center" wrapText="1"/>
    </xf>
    <xf numFmtId="0" fontId="2" fillId="2" borderId="0" xfId="0" quotePrefix="1" applyFont="1" applyFill="1" applyAlignment="1">
      <alignment horizontal="center" vertical="center"/>
    </xf>
    <xf numFmtId="0" fontId="2" fillId="2" borderId="0" xfId="0" applyFont="1" applyFill="1" applyAlignment="1">
      <alignment horizontal="left" vertical="center" wrapText="1"/>
    </xf>
    <xf numFmtId="0" fontId="2" fillId="2" borderId="1" xfId="0" quotePrefix="1" applyFont="1" applyFill="1" applyBorder="1" applyAlignment="1">
      <alignment horizontal="center" vertical="center"/>
    </xf>
    <xf numFmtId="1" fontId="4" fillId="2" borderId="1" xfId="0" applyNumberFormat="1" applyFont="1" applyFill="1" applyBorder="1" applyAlignment="1">
      <alignment horizontal="center" vertical="center" wrapText="1"/>
    </xf>
    <xf numFmtId="2" fontId="2" fillId="2" borderId="0" xfId="0" applyNumberFormat="1" applyFont="1" applyFill="1" applyAlignment="1">
      <alignment horizontal="right" vertical="center"/>
    </xf>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2" fontId="4" fillId="2" borderId="0" xfId="0" applyNumberFormat="1" applyFont="1" applyFill="1" applyAlignment="1">
      <alignment horizontal="center" vertical="center" wrapText="1"/>
    </xf>
    <xf numFmtId="164" fontId="3" fillId="2" borderId="1" xfId="0" applyNumberFormat="1" applyFont="1" applyFill="1" applyBorder="1" applyAlignment="1">
      <alignment horizontal="center" vertical="center"/>
    </xf>
    <xf numFmtId="0" fontId="1" fillId="2" borderId="0" xfId="0" applyFont="1" applyFill="1" applyAlignment="1">
      <alignment horizontal="right" vertical="center"/>
    </xf>
    <xf numFmtId="0" fontId="1" fillId="2" borderId="1" xfId="0" applyFont="1" applyFill="1" applyBorder="1" applyAlignment="1">
      <alignment horizontal="right" vertical="center"/>
    </xf>
    <xf numFmtId="0" fontId="2" fillId="2" borderId="0" xfId="0" applyFont="1" applyFill="1" applyAlignment="1">
      <alignment horizontal="right"/>
    </xf>
    <xf numFmtId="0" fontId="3" fillId="2" borderId="3" xfId="0" applyFont="1" applyFill="1" applyBorder="1" applyAlignment="1">
      <alignment vertical="center"/>
    </xf>
    <xf numFmtId="0" fontId="1" fillId="2" borderId="1" xfId="0" applyFont="1" applyFill="1" applyBorder="1" applyAlignment="1">
      <alignment vertical="center"/>
    </xf>
    <xf numFmtId="0" fontId="2" fillId="2" borderId="0" xfId="0" applyFont="1" applyFill="1" applyAlignment="1">
      <alignment vertical="top"/>
    </xf>
    <xf numFmtId="0" fontId="2" fillId="2" borderId="0" xfId="0" applyFont="1" applyFill="1" applyAlignment="1">
      <alignment horizontal="left"/>
    </xf>
    <xf numFmtId="0" fontId="1" fillId="2" borderId="0" xfId="0" applyFont="1" applyFill="1" applyAlignment="1">
      <alignment horizontal="left"/>
    </xf>
    <xf numFmtId="164" fontId="6" fillId="2" borderId="2" xfId="0" applyNumberFormat="1" applyFont="1" applyFill="1" applyBorder="1" applyAlignment="1">
      <alignment horizontal="left"/>
    </xf>
    <xf numFmtId="11" fontId="2" fillId="2" borderId="2" xfId="0" applyNumberFormat="1" applyFont="1" applyFill="1" applyBorder="1"/>
    <xf numFmtId="11" fontId="1" fillId="2" borderId="0" xfId="0" applyNumberFormat="1" applyFont="1" applyFill="1"/>
    <xf numFmtId="0" fontId="1" fillId="2" borderId="0" xfId="0" applyFont="1" applyFill="1"/>
    <xf numFmtId="11" fontId="1" fillId="2" borderId="2" xfId="0" applyNumberFormat="1" applyFont="1" applyFill="1" applyBorder="1"/>
    <xf numFmtId="0" fontId="3" fillId="2" borderId="2" xfId="0" applyFont="1" applyFill="1" applyBorder="1"/>
    <xf numFmtId="0" fontId="1" fillId="2" borderId="2" xfId="0" applyFont="1" applyFill="1" applyBorder="1" applyAlignment="1">
      <alignment horizontal="center"/>
    </xf>
    <xf numFmtId="0" fontId="3" fillId="2" borderId="0" xfId="0" applyFont="1" applyFill="1" applyAlignment="1">
      <alignment vertical="center" wrapText="1"/>
    </xf>
    <xf numFmtId="0" fontId="3" fillId="2" borderId="0" xfId="0" applyFont="1" applyFill="1" applyAlignment="1">
      <alignment horizontal="left" vertical="top" wrapText="1"/>
    </xf>
    <xf numFmtId="0" fontId="3" fillId="2" borderId="0" xfId="0" applyFont="1" applyFill="1" applyAlignment="1">
      <alignment vertical="top" wrapText="1"/>
    </xf>
    <xf numFmtId="0" fontId="2" fillId="2" borderId="0" xfId="0" applyFont="1" applyFill="1" applyAlignment="1">
      <alignment vertical="top" wrapText="1"/>
    </xf>
    <xf numFmtId="0" fontId="2" fillId="2" borderId="0" xfId="0" applyFont="1" applyFill="1" applyAlignment="1">
      <alignment horizontal="left" vertical="top"/>
    </xf>
    <xf numFmtId="11" fontId="2" fillId="2" borderId="0" xfId="0" applyNumberFormat="1" applyFont="1" applyFill="1" applyAlignment="1">
      <alignment horizontal="center" vertical="center"/>
    </xf>
    <xf numFmtId="11" fontId="2" fillId="2" borderId="1" xfId="0" applyNumberFormat="1" applyFont="1" applyFill="1" applyBorder="1" applyAlignment="1">
      <alignment horizontal="center" vertical="center"/>
    </xf>
    <xf numFmtId="11" fontId="2" fillId="2" borderId="0" xfId="0" applyNumberFormat="1" applyFont="1" applyFill="1" applyAlignment="1">
      <alignment horizontal="right" vertical="center"/>
    </xf>
    <xf numFmtId="0" fontId="2" fillId="2" borderId="1" xfId="0" applyFont="1" applyFill="1" applyBorder="1" applyAlignment="1">
      <alignment horizontal="right" vertical="center"/>
    </xf>
    <xf numFmtId="0" fontId="2" fillId="2" borderId="0" xfId="0" applyFont="1" applyFill="1" applyAlignment="1">
      <alignment horizontal="right" vertical="center"/>
    </xf>
    <xf numFmtId="2" fontId="3" fillId="2" borderId="0" xfId="0" applyNumberFormat="1" applyFont="1" applyFill="1" applyAlignment="1">
      <alignment horizontal="center" vertical="center"/>
    </xf>
    <xf numFmtId="2" fontId="3" fillId="2" borderId="1" xfId="0" applyNumberFormat="1" applyFont="1" applyFill="1" applyBorder="1" applyAlignment="1">
      <alignment horizontal="center" vertical="center"/>
    </xf>
    <xf numFmtId="0" fontId="2" fillId="2" borderId="1" xfId="0" applyFont="1" applyFill="1" applyBorder="1" applyAlignment="1">
      <alignment horizontal="left"/>
    </xf>
    <xf numFmtId="0" fontId="1" fillId="2" borderId="3" xfId="0" applyFont="1" applyFill="1" applyBorder="1" applyAlignment="1">
      <alignment vertical="center"/>
    </xf>
    <xf numFmtId="0" fontId="3" fillId="2" borderId="0" xfId="0" applyFont="1" applyFill="1" applyAlignment="1">
      <alignment horizontal="left" vertical="center" wrapText="1"/>
    </xf>
    <xf numFmtId="0" fontId="13" fillId="2" borderId="2" xfId="0" applyFont="1" applyFill="1" applyBorder="1" applyAlignment="1">
      <alignment horizontal="left" vertical="center"/>
    </xf>
    <xf numFmtId="0" fontId="1" fillId="2" borderId="1" xfId="0" applyFont="1" applyFill="1" applyBorder="1" applyAlignment="1">
      <alignment horizontal="left" vertical="center" wrapText="1"/>
    </xf>
    <xf numFmtId="2" fontId="2" fillId="2" borderId="0" xfId="0" applyNumberFormat="1" applyFont="1" applyFill="1" applyAlignment="1">
      <alignment vertical="center"/>
    </xf>
    <xf numFmtId="0" fontId="3" fillId="2" borderId="1" xfId="0" applyFont="1" applyFill="1" applyBorder="1" applyAlignment="1">
      <alignment vertical="center"/>
    </xf>
    <xf numFmtId="166" fontId="3" fillId="2" borderId="0" xfId="0" applyNumberFormat="1" applyFont="1" applyFill="1" applyAlignment="1">
      <alignment horizontal="center" vertical="center"/>
    </xf>
    <xf numFmtId="166" fontId="3" fillId="2" borderId="1" xfId="0" applyNumberFormat="1" applyFont="1" applyFill="1" applyBorder="1" applyAlignment="1">
      <alignment horizontal="center" vertical="center"/>
    </xf>
    <xf numFmtId="11" fontId="4" fillId="2" borderId="0" xfId="0" applyNumberFormat="1" applyFont="1" applyFill="1" applyAlignment="1">
      <alignment horizontal="center" vertical="center"/>
    </xf>
    <xf numFmtId="11" fontId="4" fillId="2" borderId="1" xfId="0" applyNumberFormat="1" applyFont="1" applyFill="1" applyBorder="1" applyAlignment="1">
      <alignment horizontal="center" vertical="center"/>
    </xf>
    <xf numFmtId="11" fontId="2" fillId="2" borderId="1" xfId="0" applyNumberFormat="1" applyFont="1" applyFill="1" applyBorder="1" applyAlignment="1">
      <alignment horizontal="right" vertical="center"/>
    </xf>
    <xf numFmtId="2" fontId="2" fillId="2" borderId="4" xfId="0" applyNumberFormat="1" applyFont="1" applyFill="1" applyBorder="1" applyAlignment="1">
      <alignment horizontal="center" vertical="center"/>
    </xf>
    <xf numFmtId="11" fontId="2" fillId="2" borderId="1" xfId="0" applyNumberFormat="1" applyFont="1" applyFill="1" applyBorder="1"/>
    <xf numFmtId="11" fontId="3" fillId="2" borderId="3" xfId="0" applyNumberFormat="1" applyFont="1" applyFill="1" applyBorder="1" applyAlignment="1">
      <alignment horizontal="left" vertical="center"/>
    </xf>
    <xf numFmtId="1" fontId="2" fillId="2" borderId="0" xfId="0" applyNumberFormat="1" applyFont="1" applyFill="1" applyAlignment="1">
      <alignment horizontal="center" vertical="top"/>
    </xf>
    <xf numFmtId="0" fontId="1" fillId="2" borderId="0" xfId="0" applyFont="1" applyFill="1" applyAlignment="1">
      <alignment horizontal="center" vertical="top"/>
    </xf>
    <xf numFmtId="166" fontId="2" fillId="2" borderId="1" xfId="0" applyNumberFormat="1" applyFont="1" applyFill="1" applyBorder="1" applyAlignment="1">
      <alignment horizontal="center" vertical="center"/>
    </xf>
    <xf numFmtId="166" fontId="2" fillId="2" borderId="4" xfId="0" applyNumberFormat="1" applyFont="1" applyFill="1" applyBorder="1" applyAlignment="1">
      <alignment horizontal="center" vertical="center"/>
    </xf>
    <xf numFmtId="1" fontId="2" fillId="2" borderId="1" xfId="0" applyNumberFormat="1" applyFont="1" applyFill="1" applyBorder="1" applyAlignment="1">
      <alignment vertical="center"/>
    </xf>
    <xf numFmtId="1" fontId="2" fillId="2" borderId="4" xfId="0" applyNumberFormat="1" applyFont="1" applyFill="1" applyBorder="1" applyAlignment="1">
      <alignment vertical="center"/>
    </xf>
    <xf numFmtId="1" fontId="3" fillId="2" borderId="1" xfId="0" applyNumberFormat="1" applyFont="1" applyFill="1" applyBorder="1" applyAlignment="1">
      <alignment horizontal="center" vertical="center"/>
    </xf>
    <xf numFmtId="0" fontId="3" fillId="0" borderId="3" xfId="0" applyFont="1" applyBorder="1" applyAlignment="1">
      <alignment horizontal="left" vertical="center"/>
    </xf>
    <xf numFmtId="11" fontId="2" fillId="2" borderId="1" xfId="0" applyNumberFormat="1" applyFont="1" applyFill="1" applyBorder="1" applyAlignment="1">
      <alignment horizontal="center" vertical="center" wrapText="1"/>
    </xf>
    <xf numFmtId="2" fontId="2" fillId="2" borderId="1" xfId="0" applyNumberFormat="1" applyFont="1" applyFill="1" applyBorder="1" applyAlignment="1">
      <alignment vertical="center"/>
    </xf>
    <xf numFmtId="164" fontId="4" fillId="2" borderId="0" xfId="0" applyNumberFormat="1" applyFont="1" applyFill="1" applyAlignment="1">
      <alignment horizontal="center" vertical="center" wrapText="1"/>
    </xf>
    <xf numFmtId="164" fontId="4" fillId="2" borderId="1" xfId="0" applyNumberFormat="1" applyFont="1" applyFill="1" applyBorder="1" applyAlignment="1">
      <alignment horizontal="center" vertical="center" wrapText="1"/>
    </xf>
    <xf numFmtId="2" fontId="4" fillId="2" borderId="1" xfId="0" applyNumberFormat="1" applyFont="1" applyFill="1" applyBorder="1" applyAlignment="1">
      <alignment horizontal="center" vertical="center" wrapText="1"/>
    </xf>
    <xf numFmtId="0" fontId="2" fillId="0" borderId="0" xfId="0" applyFont="1" applyAlignment="1">
      <alignment vertical="center"/>
    </xf>
    <xf numFmtId="2" fontId="2" fillId="2" borderId="0" xfId="0" applyNumberFormat="1" applyFont="1" applyFill="1"/>
    <xf numFmtId="166" fontId="4" fillId="2" borderId="0" xfId="0" applyNumberFormat="1" applyFont="1" applyFill="1" applyAlignment="1">
      <alignment horizontal="center" vertical="center"/>
    </xf>
    <xf numFmtId="166" fontId="4" fillId="2" borderId="1" xfId="0" applyNumberFormat="1" applyFont="1" applyFill="1" applyBorder="1" applyAlignment="1">
      <alignment horizontal="center" vertical="center"/>
    </xf>
    <xf numFmtId="0" fontId="2" fillId="2" borderId="4" xfId="0" applyFont="1" applyFill="1" applyBorder="1" applyAlignment="1">
      <alignment vertical="top" wrapText="1"/>
    </xf>
    <xf numFmtId="0" fontId="2" fillId="2" borderId="4" xfId="0" applyFont="1" applyFill="1" applyBorder="1" applyAlignment="1">
      <alignment vertical="top"/>
    </xf>
    <xf numFmtId="166" fontId="2" fillId="2" borderId="0" xfId="0" applyNumberFormat="1" applyFont="1" applyFill="1" applyAlignment="1">
      <alignment vertical="center"/>
    </xf>
    <xf numFmtId="1" fontId="2" fillId="2" borderId="0" xfId="0" applyNumberFormat="1" applyFont="1" applyFill="1" applyAlignment="1">
      <alignment horizontal="left" vertical="center"/>
    </xf>
    <xf numFmtId="1" fontId="2" fillId="2" borderId="1" xfId="0" applyNumberFormat="1" applyFont="1" applyFill="1" applyBorder="1" applyAlignment="1">
      <alignment horizontal="left" vertical="center"/>
    </xf>
    <xf numFmtId="166" fontId="2" fillId="2" borderId="0" xfId="0" applyNumberFormat="1" applyFont="1" applyFill="1" applyAlignment="1">
      <alignment horizontal="center"/>
    </xf>
    <xf numFmtId="11" fontId="2" fillId="2" borderId="0" xfId="0" applyNumberFormat="1" applyFont="1" applyFill="1" applyAlignment="1">
      <alignment horizontal="left" vertical="center" wrapText="1"/>
    </xf>
    <xf numFmtId="11" fontId="1" fillId="2" borderId="2" xfId="0" applyNumberFormat="1" applyFont="1" applyFill="1" applyBorder="1" applyAlignment="1">
      <alignment horizontal="center"/>
    </xf>
    <xf numFmtId="0" fontId="1" fillId="2" borderId="0" xfId="0" applyFont="1" applyFill="1" applyAlignment="1">
      <alignment horizontal="center"/>
    </xf>
    <xf numFmtId="11" fontId="2" fillId="2" borderId="0" xfId="0" applyNumberFormat="1" applyFont="1" applyFill="1" applyAlignment="1">
      <alignment horizontal="center" vertical="center" wrapText="1"/>
    </xf>
    <xf numFmtId="11" fontId="2" fillId="2" borderId="1" xfId="0" applyNumberFormat="1" applyFont="1" applyFill="1" applyBorder="1" applyAlignment="1">
      <alignment horizontal="left" vertical="center" wrapText="1"/>
    </xf>
    <xf numFmtId="164" fontId="4" fillId="2" borderId="1" xfId="0" applyNumberFormat="1" applyFont="1" applyFill="1" applyBorder="1" applyAlignment="1">
      <alignment horizontal="center" vertical="center"/>
    </xf>
    <xf numFmtId="11" fontId="3" fillId="2" borderId="0" xfId="0" applyNumberFormat="1" applyFont="1" applyFill="1" applyAlignment="1">
      <alignment horizontal="center" vertical="center"/>
    </xf>
    <xf numFmtId="11" fontId="3" fillId="2" borderId="1" xfId="0" applyNumberFormat="1" applyFont="1" applyFill="1" applyBorder="1" applyAlignment="1">
      <alignment horizontal="center" vertical="center"/>
    </xf>
    <xf numFmtId="0" fontId="3" fillId="2" borderId="0" xfId="0" applyFont="1" applyFill="1" applyAlignment="1">
      <alignment horizontal="right" vertical="center"/>
    </xf>
    <xf numFmtId="0" fontId="3" fillId="2" borderId="1" xfId="0" applyFont="1" applyFill="1" applyBorder="1" applyAlignment="1">
      <alignment horizontal="right" vertical="center"/>
    </xf>
    <xf numFmtId="0" fontId="1" fillId="2" borderId="0" xfId="0" applyFont="1" applyFill="1" applyAlignment="1">
      <alignment vertical="top" wrapText="1"/>
    </xf>
    <xf numFmtId="0" fontId="3" fillId="2" borderId="0" xfId="0" applyFont="1" applyFill="1" applyAlignment="1">
      <alignment horizontal="left" vertical="top" wrapText="1"/>
    </xf>
    <xf numFmtId="0" fontId="2" fillId="2" borderId="0" xfId="0" applyFont="1" applyFill="1" applyAlignment="1">
      <alignment horizontal="left" vertical="top" wrapText="1"/>
    </xf>
    <xf numFmtId="0" fontId="2" fillId="2" borderId="2" xfId="0" applyFont="1" applyFill="1" applyBorder="1" applyAlignment="1">
      <alignment horizontal="left" vertical="center" wrapText="1"/>
    </xf>
    <xf numFmtId="0" fontId="2" fillId="2" borderId="2" xfId="0" applyFont="1" applyFill="1" applyBorder="1" applyAlignment="1">
      <alignment horizontal="left" vertical="top" wrapText="1"/>
    </xf>
    <xf numFmtId="0" fontId="2" fillId="2" borderId="0" xfId="0" applyFont="1" applyFill="1" applyAlignment="1">
      <alignment horizontal="left" vertical="center" wrapText="1"/>
    </xf>
    <xf numFmtId="0" fontId="1" fillId="2" borderId="2" xfId="0" applyFont="1" applyFill="1" applyBorder="1" applyAlignment="1">
      <alignment horizontal="left"/>
    </xf>
    <xf numFmtId="0" fontId="1" fillId="2" borderId="4" xfId="0" applyFont="1" applyFill="1" applyBorder="1" applyAlignment="1">
      <alignment horizontal="left" vertical="top" wrapText="1"/>
    </xf>
    <xf numFmtId="0" fontId="1" fillId="2" borderId="0" xfId="0" applyFont="1" applyFill="1" applyAlignment="1">
      <alignment horizontal="left" vertical="top" wrapText="1"/>
    </xf>
    <xf numFmtId="0" fontId="1" fillId="2" borderId="0" xfId="0" applyFont="1" applyFill="1" applyAlignment="1">
      <alignment horizontal="left" vertical="center" wrapText="1"/>
    </xf>
    <xf numFmtId="0" fontId="2" fillId="2" borderId="4" xfId="0" applyFont="1" applyFill="1" applyBorder="1" applyAlignment="1">
      <alignment horizontal="left" vertical="top" wrapText="1"/>
    </xf>
    <xf numFmtId="1" fontId="2" fillId="2" borderId="0" xfId="0" applyNumberFormat="1" applyFont="1" applyFill="1" applyAlignment="1">
      <alignment horizontal="left" vertical="top" wrapText="1"/>
    </xf>
    <xf numFmtId="11" fontId="1" fillId="2" borderId="4" xfId="0" applyNumberFormat="1" applyFont="1" applyFill="1" applyBorder="1" applyAlignment="1">
      <alignment horizontal="center" vertical="center" wrapText="1"/>
    </xf>
    <xf numFmtId="11" fontId="1" fillId="2" borderId="0" xfId="0" applyNumberFormat="1" applyFont="1" applyFill="1" applyAlignment="1">
      <alignment horizontal="center" vertical="center" wrapText="1"/>
    </xf>
    <xf numFmtId="11" fontId="1" fillId="2" borderId="1" xfId="0" applyNumberFormat="1" applyFont="1" applyFill="1" applyBorder="1" applyAlignment="1">
      <alignment horizontal="center" vertical="center" wrapText="1"/>
    </xf>
    <xf numFmtId="11" fontId="1" fillId="2" borderId="0" xfId="0" applyNumberFormat="1" applyFont="1" applyFill="1" applyAlignment="1">
      <alignment horizontal="center" vertical="center"/>
    </xf>
    <xf numFmtId="11" fontId="1" fillId="2" borderId="1" xfId="0" applyNumberFormat="1" applyFont="1" applyFill="1" applyBorder="1" applyAlignment="1">
      <alignment horizontal="center" vertical="center"/>
    </xf>
    <xf numFmtId="164" fontId="4" fillId="2" borderId="0" xfId="0" applyNumberFormat="1" applyFont="1" applyFill="1" applyAlignment="1">
      <alignment horizontal="left" vertical="center" wrapText="1"/>
    </xf>
    <xf numFmtId="0" fontId="3" fillId="2" borderId="2" xfId="0" applyFont="1" applyFill="1" applyBorder="1" applyAlignment="1">
      <alignment horizontal="left" vertical="top" wrapText="1"/>
    </xf>
  </cellXfs>
  <cellStyles count="1">
    <cellStyle name="Normal" xfId="0" builtinId="0"/>
  </cellStyles>
  <dxfs count="37">
    <dxf>
      <font>
        <b/>
        <i val="0"/>
        <strike val="0"/>
      </font>
    </dxf>
    <dxf>
      <font>
        <b/>
        <i val="0"/>
      </font>
      <fill>
        <patternFill patternType="solid">
          <bgColor theme="0"/>
        </patternFill>
      </fill>
    </dxf>
    <dxf>
      <font>
        <b/>
        <i val="0"/>
        <color auto="1"/>
      </font>
      <fill>
        <patternFill patternType="solid">
          <bgColor theme="0"/>
        </patternFill>
      </fill>
    </dxf>
    <dxf>
      <font>
        <b/>
        <i val="0"/>
        <color auto="1"/>
      </font>
      <fill>
        <patternFill patternType="solid">
          <bgColor theme="0"/>
        </patternFill>
      </fill>
    </dxf>
    <dxf>
      <font>
        <b/>
        <i val="0"/>
        <color auto="1"/>
      </font>
      <fill>
        <patternFill patternType="solid">
          <bgColor theme="0"/>
        </patternFill>
      </fill>
    </dxf>
    <dxf>
      <font>
        <b/>
        <i val="0"/>
      </font>
      <fill>
        <patternFill>
          <bgColor theme="0"/>
        </patternFill>
      </fill>
    </dxf>
    <dxf>
      <font>
        <b/>
        <i val="0"/>
        <color auto="1"/>
      </font>
      <fill>
        <patternFill>
          <bgColor rgb="FFFFC000"/>
        </patternFill>
      </fill>
    </dxf>
    <dxf>
      <font>
        <b/>
        <i val="0"/>
        <color auto="1"/>
      </font>
      <fill>
        <patternFill>
          <bgColor rgb="FFD9B3FF"/>
        </patternFill>
      </fill>
    </dxf>
    <dxf>
      <font>
        <b/>
        <i val="0"/>
      </font>
      <fill>
        <patternFill>
          <bgColor theme="0"/>
        </patternFill>
      </fill>
    </dxf>
    <dxf>
      <font>
        <b/>
        <i val="0"/>
      </font>
      <fill>
        <patternFill>
          <bgColor theme="0"/>
        </patternFill>
      </fill>
    </dxf>
    <dxf>
      <font>
        <b/>
        <i val="0"/>
      </font>
      <fill>
        <patternFill>
          <bgColor theme="0"/>
        </patternFill>
      </fill>
    </dxf>
    <dxf>
      <font>
        <b/>
        <i val="0"/>
      </font>
      <fill>
        <patternFill>
          <bgColor theme="0"/>
        </patternFill>
      </fill>
    </dxf>
    <dxf>
      <font>
        <b/>
        <i val="0"/>
      </font>
      <fill>
        <patternFill>
          <bgColor theme="0"/>
        </patternFill>
      </fill>
    </dxf>
    <dxf>
      <font>
        <b/>
        <i val="0"/>
        <color rgb="FFFF66FF"/>
      </font>
    </dxf>
    <dxf>
      <font>
        <b/>
        <i val="0"/>
        <color rgb="FFFF66FF"/>
      </font>
    </dxf>
    <dxf>
      <font>
        <b/>
        <i val="0"/>
        <color rgb="FFFF66FF"/>
      </font>
    </dxf>
    <dxf>
      <font>
        <b/>
        <i val="0"/>
        <color auto="1"/>
      </font>
      <fill>
        <patternFill>
          <bgColor rgb="FFFFC000"/>
        </patternFill>
      </fill>
    </dxf>
    <dxf>
      <font>
        <b/>
        <i val="0"/>
        <color auto="1"/>
      </font>
      <fill>
        <patternFill>
          <bgColor rgb="FFD9B3FF"/>
        </patternFill>
      </fill>
    </dxf>
    <dxf>
      <fill>
        <patternFill>
          <bgColor rgb="FFC00000"/>
        </patternFill>
      </fill>
    </dxf>
    <dxf>
      <font>
        <b/>
        <i val="0"/>
        <color rgb="FFFF66FF"/>
      </font>
    </dxf>
    <dxf>
      <font>
        <b/>
        <i val="0"/>
        <color auto="1"/>
      </font>
      <fill>
        <patternFill>
          <bgColor rgb="FFFFC000"/>
        </patternFill>
      </fill>
    </dxf>
    <dxf>
      <font>
        <b/>
        <i val="0"/>
        <color auto="1"/>
      </font>
      <fill>
        <patternFill>
          <bgColor rgb="FFD9B3FF"/>
        </patternFill>
      </fill>
    </dxf>
    <dxf>
      <font>
        <b/>
        <i val="0"/>
        <color rgb="FFFF66FF"/>
      </font>
    </dxf>
    <dxf>
      <font>
        <b/>
        <i val="0"/>
        <color rgb="FFFF66FF"/>
      </font>
    </dxf>
    <dxf>
      <font>
        <b/>
        <i val="0"/>
        <color auto="1"/>
      </font>
      <fill>
        <patternFill>
          <bgColor rgb="FFFFC000"/>
        </patternFill>
      </fill>
    </dxf>
    <dxf>
      <font>
        <b/>
        <i val="0"/>
        <color auto="1"/>
      </font>
      <fill>
        <patternFill>
          <bgColor rgb="FFD9B3FF"/>
        </patternFill>
      </fill>
    </dxf>
    <dxf>
      <font>
        <b/>
        <i val="0"/>
        <color auto="1"/>
      </font>
      <fill>
        <patternFill>
          <bgColor rgb="FFFFC000"/>
        </patternFill>
      </fill>
    </dxf>
    <dxf>
      <font>
        <b/>
        <i val="0"/>
        <color auto="1"/>
      </font>
      <fill>
        <patternFill>
          <bgColor rgb="FFD9B3FF"/>
        </patternFill>
      </fill>
    </dxf>
    <dxf>
      <font>
        <b/>
        <i val="0"/>
        <color rgb="FFFF66FF"/>
      </font>
    </dxf>
    <dxf>
      <font>
        <b/>
        <i val="0"/>
      </font>
    </dxf>
    <dxf>
      <font>
        <b/>
        <i val="0"/>
        <color auto="1"/>
      </font>
      <fill>
        <patternFill>
          <bgColor rgb="FFFFC000"/>
        </patternFill>
      </fill>
    </dxf>
    <dxf>
      <font>
        <b/>
        <i val="0"/>
        <color auto="1"/>
      </font>
      <fill>
        <patternFill>
          <bgColor rgb="FFD9B3FF"/>
        </patternFill>
      </fill>
    </dxf>
    <dxf>
      <font>
        <b/>
        <i val="0"/>
      </font>
      <fill>
        <patternFill>
          <bgColor theme="0"/>
        </patternFill>
      </fill>
    </dxf>
    <dxf>
      <font>
        <b/>
        <i val="0"/>
      </font>
      <fill>
        <patternFill>
          <bgColor theme="0"/>
        </patternFill>
      </fill>
    </dxf>
    <dxf>
      <font>
        <b/>
        <i val="0"/>
      </font>
    </dxf>
    <dxf>
      <font>
        <b/>
        <i val="0"/>
        <color auto="1"/>
      </font>
      <fill>
        <patternFill>
          <bgColor rgb="FFFFC000"/>
        </patternFill>
      </fill>
    </dxf>
    <dxf>
      <font>
        <b/>
        <i val="0"/>
        <color auto="1"/>
      </font>
      <fill>
        <patternFill>
          <bgColor rgb="FFD9B3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51E98-CD18-478F-A4DB-BE2428482204}">
  <sheetPr codeName="Sheet2"/>
  <dimension ref="B1:J58"/>
  <sheetViews>
    <sheetView tabSelected="1" zoomScale="85" zoomScaleNormal="85" workbookViewId="0">
      <selection activeCell="C17" sqref="C17"/>
    </sheetView>
  </sheetViews>
  <sheetFormatPr defaultColWidth="8.88671875" defaultRowHeight="13.2" x14ac:dyDescent="0.25"/>
  <cols>
    <col min="1" max="1" width="6.33203125" style="1" customWidth="1"/>
    <col min="2" max="2" width="14.44140625" style="11" customWidth="1"/>
    <col min="3" max="6" width="8.88671875" style="10"/>
    <col min="7" max="7" width="24.5546875" style="1" customWidth="1"/>
    <col min="8" max="8" width="3.5546875" style="1" customWidth="1"/>
    <col min="9" max="16384" width="8.88671875" style="1"/>
  </cols>
  <sheetData>
    <row r="1" spans="2:10" ht="13.2" customHeight="1" x14ac:dyDescent="0.25"/>
    <row r="2" spans="2:10" ht="18" thickBot="1" x14ac:dyDescent="0.3">
      <c r="B2" s="111" t="s">
        <v>491</v>
      </c>
      <c r="C2" s="8"/>
      <c r="D2" s="8"/>
      <c r="E2" s="8"/>
      <c r="F2" s="8"/>
      <c r="G2" s="3"/>
      <c r="H2" s="3"/>
    </row>
    <row r="3" spans="2:10" s="10" customFormat="1" ht="25.2" customHeight="1" x14ac:dyDescent="0.3">
      <c r="B3" s="109" t="s">
        <v>690</v>
      </c>
      <c r="C3" s="109" t="s">
        <v>689</v>
      </c>
      <c r="D3" s="109"/>
      <c r="E3" s="109"/>
      <c r="F3" s="109"/>
      <c r="G3" s="109"/>
      <c r="H3" s="109"/>
    </row>
    <row r="4" spans="2:10" ht="24.9" customHeight="1" x14ac:dyDescent="0.25">
      <c r="B4" s="44" t="s">
        <v>645</v>
      </c>
      <c r="C4" s="24" t="s">
        <v>682</v>
      </c>
      <c r="D4" s="24"/>
      <c r="E4" s="24"/>
      <c r="F4" s="24"/>
      <c r="G4" s="87"/>
      <c r="H4" s="87"/>
      <c r="J4" s="24"/>
    </row>
    <row r="5" spans="2:10" ht="24.9" customHeight="1" x14ac:dyDescent="0.25">
      <c r="B5" s="44" t="s">
        <v>646</v>
      </c>
      <c r="C5" s="24" t="s">
        <v>674</v>
      </c>
      <c r="D5" s="24"/>
      <c r="E5" s="24"/>
      <c r="F5" s="24"/>
      <c r="G5" s="87"/>
      <c r="H5" s="87"/>
    </row>
    <row r="6" spans="2:10" ht="24.9" customHeight="1" x14ac:dyDescent="0.25">
      <c r="B6" s="44" t="s">
        <v>647</v>
      </c>
      <c r="C6" s="24" t="s">
        <v>675</v>
      </c>
      <c r="D6" s="24"/>
      <c r="E6" s="24"/>
      <c r="F6" s="24"/>
      <c r="G6" s="87"/>
      <c r="H6" s="87"/>
    </row>
    <row r="7" spans="2:10" ht="24.9" customHeight="1" x14ac:dyDescent="0.25">
      <c r="B7" s="44" t="s">
        <v>648</v>
      </c>
      <c r="C7" s="24" t="s">
        <v>681</v>
      </c>
      <c r="D7" s="24"/>
      <c r="E7" s="24"/>
      <c r="F7" s="24"/>
      <c r="G7" s="87"/>
      <c r="H7" s="87"/>
    </row>
    <row r="8" spans="2:10" ht="24.9" customHeight="1" x14ac:dyDescent="0.25">
      <c r="B8" s="44" t="s">
        <v>649</v>
      </c>
      <c r="C8" s="24" t="s">
        <v>671</v>
      </c>
      <c r="D8" s="24"/>
      <c r="E8" s="24"/>
      <c r="F8" s="24"/>
      <c r="G8" s="87"/>
      <c r="H8" s="87"/>
    </row>
    <row r="9" spans="2:10" ht="24.9" customHeight="1" x14ac:dyDescent="0.25">
      <c r="B9" s="44" t="s">
        <v>650</v>
      </c>
      <c r="C9" s="24" t="s">
        <v>1201</v>
      </c>
      <c r="D9" s="24"/>
      <c r="E9" s="24"/>
      <c r="F9" s="24"/>
      <c r="G9" s="87"/>
      <c r="H9" s="87"/>
    </row>
    <row r="10" spans="2:10" ht="24.9" customHeight="1" x14ac:dyDescent="0.25">
      <c r="B10" s="44" t="s">
        <v>651</v>
      </c>
      <c r="C10" s="24" t="s">
        <v>1202</v>
      </c>
      <c r="D10" s="24"/>
      <c r="E10" s="24"/>
      <c r="F10" s="24"/>
      <c r="G10" s="87"/>
      <c r="H10" s="87"/>
    </row>
    <row r="11" spans="2:10" ht="24.9" customHeight="1" x14ac:dyDescent="0.25">
      <c r="B11" s="44" t="s">
        <v>652</v>
      </c>
      <c r="C11" s="24" t="s">
        <v>676</v>
      </c>
      <c r="D11" s="24"/>
      <c r="E11" s="24"/>
      <c r="F11" s="24"/>
      <c r="G11" s="87"/>
      <c r="H11" s="87"/>
    </row>
    <row r="12" spans="2:10" ht="24.9" customHeight="1" x14ac:dyDescent="0.25">
      <c r="B12" s="44" t="s">
        <v>653</v>
      </c>
      <c r="C12" s="24" t="s">
        <v>677</v>
      </c>
      <c r="D12" s="24"/>
      <c r="E12" s="24"/>
      <c r="F12" s="24"/>
      <c r="G12" s="87"/>
      <c r="H12" s="87"/>
    </row>
    <row r="13" spans="2:10" ht="24.9" customHeight="1" x14ac:dyDescent="0.25">
      <c r="B13" s="44" t="s">
        <v>654</v>
      </c>
      <c r="C13" s="24" t="s">
        <v>678</v>
      </c>
      <c r="D13" s="24"/>
      <c r="E13" s="24"/>
      <c r="F13" s="24"/>
      <c r="G13" s="87"/>
      <c r="H13" s="87"/>
    </row>
    <row r="14" spans="2:10" ht="24.9" customHeight="1" x14ac:dyDescent="0.25">
      <c r="B14" s="44" t="s">
        <v>655</v>
      </c>
      <c r="C14" s="24" t="s">
        <v>1203</v>
      </c>
      <c r="D14" s="24"/>
      <c r="E14" s="24"/>
      <c r="F14" s="24"/>
      <c r="G14" s="87"/>
      <c r="H14" s="87"/>
    </row>
    <row r="15" spans="2:10" ht="24.9" customHeight="1" x14ac:dyDescent="0.25">
      <c r="B15" s="44" t="s">
        <v>656</v>
      </c>
      <c r="C15" s="24" t="s">
        <v>1364</v>
      </c>
      <c r="D15" s="24"/>
      <c r="E15" s="24"/>
      <c r="F15" s="24"/>
      <c r="G15" s="87"/>
      <c r="H15" s="87"/>
    </row>
    <row r="16" spans="2:10" ht="24.9" customHeight="1" x14ac:dyDescent="0.25">
      <c r="B16" s="44" t="s">
        <v>657</v>
      </c>
      <c r="C16" s="24" t="s">
        <v>1756</v>
      </c>
      <c r="D16" s="24"/>
      <c r="E16" s="24"/>
      <c r="F16" s="24"/>
      <c r="G16" s="87"/>
      <c r="H16" s="87"/>
    </row>
    <row r="17" spans="2:8" ht="24.9" customHeight="1" x14ac:dyDescent="0.25">
      <c r="B17" s="44" t="s">
        <v>658</v>
      </c>
      <c r="C17" s="24" t="s">
        <v>1225</v>
      </c>
      <c r="D17" s="24"/>
      <c r="E17" s="24"/>
      <c r="F17" s="24"/>
      <c r="G17" s="87"/>
      <c r="H17" s="87"/>
    </row>
    <row r="18" spans="2:8" ht="24.9" customHeight="1" x14ac:dyDescent="0.25">
      <c r="B18" s="44" t="s">
        <v>659</v>
      </c>
      <c r="C18" s="24" t="s">
        <v>670</v>
      </c>
      <c r="D18" s="24"/>
      <c r="E18" s="24"/>
      <c r="F18" s="24"/>
      <c r="G18" s="87"/>
      <c r="H18" s="87"/>
    </row>
    <row r="19" spans="2:8" ht="24.9" customHeight="1" x14ac:dyDescent="0.25">
      <c r="B19" s="44" t="s">
        <v>660</v>
      </c>
      <c r="C19" s="24" t="s">
        <v>1204</v>
      </c>
      <c r="D19" s="24"/>
      <c r="E19" s="24"/>
      <c r="F19" s="24"/>
      <c r="G19" s="87"/>
      <c r="H19" s="87"/>
    </row>
    <row r="20" spans="2:8" ht="24.9" customHeight="1" x14ac:dyDescent="0.25">
      <c r="B20" s="44" t="s">
        <v>661</v>
      </c>
      <c r="C20" s="24" t="s">
        <v>668</v>
      </c>
      <c r="D20" s="24"/>
      <c r="E20" s="24"/>
      <c r="F20" s="24"/>
      <c r="G20" s="87"/>
      <c r="H20" s="87"/>
    </row>
    <row r="21" spans="2:8" ht="24.9" customHeight="1" x14ac:dyDescent="0.25">
      <c r="B21" s="44" t="s">
        <v>662</v>
      </c>
      <c r="C21" s="24" t="s">
        <v>667</v>
      </c>
      <c r="D21" s="24"/>
      <c r="E21" s="24"/>
      <c r="F21" s="24"/>
      <c r="G21" s="87"/>
      <c r="H21" s="87"/>
    </row>
    <row r="22" spans="2:8" ht="24.9" customHeight="1" x14ac:dyDescent="0.25">
      <c r="B22" s="44" t="s">
        <v>663</v>
      </c>
      <c r="C22" s="24" t="s">
        <v>666</v>
      </c>
      <c r="D22" s="24"/>
      <c r="E22" s="24"/>
      <c r="F22" s="24"/>
      <c r="G22" s="87"/>
      <c r="H22" s="87"/>
    </row>
    <row r="23" spans="2:8" ht="24.9" customHeight="1" x14ac:dyDescent="0.25">
      <c r="B23" s="44" t="s">
        <v>664</v>
      </c>
      <c r="C23" s="24" t="s">
        <v>669</v>
      </c>
      <c r="D23" s="24"/>
      <c r="E23" s="24"/>
      <c r="F23" s="24"/>
      <c r="G23" s="87"/>
      <c r="H23" s="87"/>
    </row>
    <row r="24" spans="2:8" ht="24.9" customHeight="1" x14ac:dyDescent="0.25">
      <c r="B24" s="44" t="s">
        <v>665</v>
      </c>
      <c r="C24" s="24" t="s">
        <v>679</v>
      </c>
      <c r="D24" s="24"/>
      <c r="E24" s="24"/>
      <c r="F24" s="24"/>
      <c r="G24" s="87"/>
      <c r="H24" s="87"/>
    </row>
    <row r="25" spans="2:8" ht="24.9" customHeight="1" x14ac:dyDescent="0.25">
      <c r="B25" s="21" t="s">
        <v>1365</v>
      </c>
      <c r="C25" s="56" t="s">
        <v>680</v>
      </c>
      <c r="D25" s="13"/>
      <c r="E25" s="13"/>
      <c r="F25" s="13"/>
      <c r="G25" s="108"/>
      <c r="H25" s="87"/>
    </row>
    <row r="26" spans="2:8" ht="24.9" customHeight="1" x14ac:dyDescent="0.25">
      <c r="D26" s="24"/>
      <c r="E26" s="24"/>
      <c r="F26" s="24"/>
    </row>
    <row r="27" spans="2:8" ht="24.9" customHeight="1" x14ac:dyDescent="0.25">
      <c r="B27" s="1"/>
      <c r="C27" s="1"/>
      <c r="D27" s="1"/>
      <c r="E27" s="1"/>
      <c r="F27" s="1"/>
    </row>
    <row r="28" spans="2:8" ht="24.9" customHeight="1" x14ac:dyDescent="0.25">
      <c r="B28" s="1"/>
      <c r="C28" s="1"/>
      <c r="D28" s="1"/>
      <c r="E28" s="1"/>
      <c r="F28" s="1"/>
    </row>
    <row r="29" spans="2:8" ht="24.9" customHeight="1" x14ac:dyDescent="0.25">
      <c r="B29" s="1"/>
      <c r="C29" s="1"/>
      <c r="D29" s="1"/>
      <c r="E29" s="1"/>
      <c r="F29" s="1"/>
    </row>
    <row r="30" spans="2:8" ht="24.9" customHeight="1" x14ac:dyDescent="0.25">
      <c r="B30" s="1"/>
      <c r="C30" s="1"/>
      <c r="D30" s="1"/>
      <c r="E30" s="1"/>
      <c r="F30" s="1"/>
    </row>
    <row r="31" spans="2:8" ht="24.9" customHeight="1" x14ac:dyDescent="0.25">
      <c r="B31" s="1"/>
      <c r="C31" s="1"/>
      <c r="D31" s="1"/>
      <c r="E31" s="1"/>
      <c r="F31" s="1"/>
    </row>
    <row r="32" spans="2:8" ht="24.9" customHeight="1" x14ac:dyDescent="0.25">
      <c r="B32" s="1"/>
      <c r="C32" s="1"/>
      <c r="D32" s="1"/>
      <c r="E32" s="1"/>
      <c r="F32" s="1"/>
    </row>
    <row r="33" spans="2:6" ht="24.9" customHeight="1" x14ac:dyDescent="0.25">
      <c r="B33" s="1"/>
      <c r="C33" s="1"/>
      <c r="D33" s="1"/>
      <c r="E33" s="1"/>
      <c r="F33" s="1"/>
    </row>
    <row r="34" spans="2:6" ht="24.9" customHeight="1" x14ac:dyDescent="0.25">
      <c r="B34" s="1"/>
      <c r="C34" s="1"/>
      <c r="D34" s="1"/>
      <c r="E34" s="1"/>
      <c r="F34" s="1"/>
    </row>
    <row r="35" spans="2:6" ht="24.9" customHeight="1" x14ac:dyDescent="0.25">
      <c r="B35" s="1"/>
      <c r="C35" s="1"/>
      <c r="D35" s="1"/>
      <c r="E35" s="1"/>
      <c r="F35" s="1"/>
    </row>
    <row r="36" spans="2:6" ht="24.9" customHeight="1" x14ac:dyDescent="0.25">
      <c r="B36" s="1"/>
      <c r="C36" s="1"/>
      <c r="D36" s="1"/>
      <c r="E36" s="1"/>
      <c r="F36" s="1"/>
    </row>
    <row r="37" spans="2:6" ht="24.9" customHeight="1" x14ac:dyDescent="0.25"/>
    <row r="38" spans="2:6" ht="24.9" customHeight="1" x14ac:dyDescent="0.25"/>
    <row r="39" spans="2:6" ht="24.9" customHeight="1" x14ac:dyDescent="0.25"/>
    <row r="40" spans="2:6" ht="24.9" customHeight="1" x14ac:dyDescent="0.25"/>
    <row r="41" spans="2:6" ht="24.9" customHeight="1" x14ac:dyDescent="0.25"/>
    <row r="42" spans="2:6" ht="24.9" customHeight="1" x14ac:dyDescent="0.25"/>
    <row r="43" spans="2:6" ht="24.9" customHeight="1" x14ac:dyDescent="0.25"/>
    <row r="44" spans="2:6" ht="24.9" customHeight="1" x14ac:dyDescent="0.25"/>
    <row r="45" spans="2:6" ht="24.9" customHeight="1" x14ac:dyDescent="0.25"/>
    <row r="46" spans="2:6" ht="24.9" customHeight="1" x14ac:dyDescent="0.25"/>
    <row r="47" spans="2:6" ht="24.9" customHeight="1" x14ac:dyDescent="0.25"/>
    <row r="48" spans="2:6" ht="24.9" customHeight="1" x14ac:dyDescent="0.25"/>
    <row r="49" ht="24.9" customHeight="1" x14ac:dyDescent="0.25"/>
    <row r="50" ht="24.9" customHeight="1" x14ac:dyDescent="0.25"/>
    <row r="51" ht="24.9" customHeight="1" x14ac:dyDescent="0.25"/>
    <row r="52" ht="24.9" customHeight="1" x14ac:dyDescent="0.25"/>
    <row r="53" ht="24.9" customHeight="1" x14ac:dyDescent="0.25"/>
    <row r="54" ht="24.9" customHeight="1" x14ac:dyDescent="0.25"/>
    <row r="55" ht="24.9" customHeight="1" x14ac:dyDescent="0.25"/>
    <row r="56" ht="24.9" customHeight="1" x14ac:dyDescent="0.25"/>
    <row r="57" ht="24.9" customHeight="1" x14ac:dyDescent="0.25"/>
    <row r="58" ht="24.9" customHeight="1" x14ac:dyDescent="0.25"/>
  </sheetData>
  <phoneticPr fontId="1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101CC-570D-4A9B-82B4-6027B72602EC}">
  <sheetPr codeName="Sheet21"/>
  <dimension ref="B1:Q40"/>
  <sheetViews>
    <sheetView zoomScale="85" zoomScaleNormal="85" workbookViewId="0">
      <pane ySplit="3" topLeftCell="A8" activePane="bottomLeft" state="frozen"/>
      <selection pane="bottomLeft" activeCell="M28" sqref="M28"/>
    </sheetView>
  </sheetViews>
  <sheetFormatPr defaultColWidth="8.88671875" defaultRowHeight="13.2" x14ac:dyDescent="0.25"/>
  <cols>
    <col min="1" max="1" width="6.33203125" style="1" customWidth="1"/>
    <col min="2" max="2" width="22.33203125" style="1" customWidth="1"/>
    <col min="3" max="3" width="28.5546875" style="1" customWidth="1"/>
    <col min="4" max="17" width="13.33203125" style="5" customWidth="1"/>
    <col min="18" max="16384" width="8.88671875" style="1"/>
  </cols>
  <sheetData>
    <row r="1" spans="2:17" ht="14.25" customHeight="1" x14ac:dyDescent="0.25">
      <c r="C1" s="12"/>
      <c r="D1" s="12"/>
      <c r="E1" s="12"/>
      <c r="F1" s="12"/>
      <c r="G1" s="12"/>
      <c r="H1" s="12"/>
      <c r="I1" s="12"/>
      <c r="J1" s="12"/>
      <c r="K1" s="12"/>
      <c r="L1" s="12"/>
      <c r="M1" s="12"/>
      <c r="N1" s="12"/>
      <c r="O1" s="12"/>
      <c r="P1" s="12"/>
      <c r="Q1" s="12"/>
    </row>
    <row r="2" spans="2:17" ht="28.5" customHeight="1" thickBot="1" x14ac:dyDescent="0.3">
      <c r="B2" s="157" t="s">
        <v>1373</v>
      </c>
      <c r="C2" s="157"/>
      <c r="D2" s="157"/>
      <c r="E2" s="157"/>
      <c r="F2" s="157"/>
      <c r="G2" s="157"/>
      <c r="H2" s="157"/>
      <c r="I2" s="157"/>
      <c r="J2" s="157"/>
      <c r="K2" s="157"/>
      <c r="L2" s="157"/>
      <c r="M2" s="157"/>
      <c r="N2" s="157"/>
      <c r="O2" s="157"/>
      <c r="P2" s="157"/>
      <c r="Q2" s="157"/>
    </row>
    <row r="3" spans="2:17" ht="24.9" customHeight="1" x14ac:dyDescent="0.25">
      <c r="B3" s="6" t="s">
        <v>24</v>
      </c>
      <c r="C3" s="130" t="s">
        <v>1010</v>
      </c>
      <c r="D3" s="7" t="s">
        <v>1366</v>
      </c>
      <c r="E3" s="7" t="s">
        <v>1367</v>
      </c>
      <c r="F3" s="7" t="s">
        <v>877</v>
      </c>
      <c r="G3" s="7" t="s">
        <v>1368</v>
      </c>
      <c r="H3" s="7" t="s">
        <v>878</v>
      </c>
      <c r="I3" s="7" t="s">
        <v>1369</v>
      </c>
      <c r="J3" s="7" t="s">
        <v>879</v>
      </c>
      <c r="K3" s="7" t="s">
        <v>1189</v>
      </c>
      <c r="L3" s="7" t="s">
        <v>1188</v>
      </c>
      <c r="M3" s="7" t="s">
        <v>1370</v>
      </c>
      <c r="N3" s="7" t="s">
        <v>1371</v>
      </c>
      <c r="O3" s="7" t="s">
        <v>1372</v>
      </c>
      <c r="P3" s="7" t="s">
        <v>561</v>
      </c>
      <c r="Q3" s="7" t="s">
        <v>601</v>
      </c>
    </row>
    <row r="4" spans="2:17" ht="24.9" customHeight="1" x14ac:dyDescent="0.25">
      <c r="B4" s="10" t="s">
        <v>35</v>
      </c>
      <c r="C4" s="10" t="s">
        <v>409</v>
      </c>
      <c r="D4" s="11" t="s">
        <v>48</v>
      </c>
      <c r="E4" s="11" t="s">
        <v>48</v>
      </c>
      <c r="F4" s="11" t="s">
        <v>420</v>
      </c>
      <c r="G4" s="11" t="s">
        <v>421</v>
      </c>
      <c r="H4" s="11" t="s">
        <v>422</v>
      </c>
      <c r="I4" s="11" t="s">
        <v>48</v>
      </c>
      <c r="J4" s="11" t="s">
        <v>423</v>
      </c>
      <c r="K4" s="11" t="s">
        <v>37</v>
      </c>
      <c r="L4" s="11" t="s">
        <v>48</v>
      </c>
      <c r="M4" s="11" t="s">
        <v>37</v>
      </c>
      <c r="N4" s="11" t="s">
        <v>48</v>
      </c>
      <c r="O4" s="11" t="s">
        <v>37</v>
      </c>
      <c r="P4" s="11" t="s">
        <v>48</v>
      </c>
      <c r="Q4" s="11" t="s">
        <v>48</v>
      </c>
    </row>
    <row r="5" spans="2:17" ht="24.9" customHeight="1" x14ac:dyDescent="0.25">
      <c r="B5" s="10" t="s">
        <v>410</v>
      </c>
      <c r="C5" s="10" t="s">
        <v>409</v>
      </c>
      <c r="D5" s="11" t="s">
        <v>424</v>
      </c>
      <c r="E5" s="11" t="s">
        <v>37</v>
      </c>
      <c r="F5" s="11" t="s">
        <v>425</v>
      </c>
      <c r="G5" s="11" t="s">
        <v>44</v>
      </c>
      <c r="H5" s="11" t="s">
        <v>426</v>
      </c>
      <c r="I5" s="11" t="s">
        <v>37</v>
      </c>
      <c r="J5" s="11" t="s">
        <v>37</v>
      </c>
      <c r="K5" s="11" t="s">
        <v>48</v>
      </c>
      <c r="L5" s="11" t="s">
        <v>48</v>
      </c>
      <c r="M5" s="11" t="s">
        <v>48</v>
      </c>
      <c r="N5" s="11" t="s">
        <v>48</v>
      </c>
      <c r="O5" s="11" t="s">
        <v>48</v>
      </c>
      <c r="P5" s="11" t="s">
        <v>48</v>
      </c>
      <c r="Q5" s="11" t="s">
        <v>48</v>
      </c>
    </row>
    <row r="6" spans="2:17" ht="24.9" customHeight="1" x14ac:dyDescent="0.25">
      <c r="B6" s="10" t="s">
        <v>411</v>
      </c>
      <c r="C6" s="10" t="s">
        <v>409</v>
      </c>
      <c r="D6" s="11" t="s">
        <v>48</v>
      </c>
      <c r="E6" s="11" t="s">
        <v>48</v>
      </c>
      <c r="F6" s="11" t="s">
        <v>428</v>
      </c>
      <c r="G6" s="11" t="s">
        <v>47</v>
      </c>
      <c r="H6" s="11" t="s">
        <v>429</v>
      </c>
      <c r="I6" s="11" t="s">
        <v>48</v>
      </c>
      <c r="J6" s="11" t="s">
        <v>430</v>
      </c>
      <c r="K6" s="11" t="s">
        <v>37</v>
      </c>
      <c r="L6" s="11" t="s">
        <v>48</v>
      </c>
      <c r="M6" s="11" t="s">
        <v>48</v>
      </c>
      <c r="N6" s="11" t="s">
        <v>48</v>
      </c>
      <c r="O6" s="11" t="s">
        <v>48</v>
      </c>
      <c r="P6" s="11" t="s">
        <v>48</v>
      </c>
      <c r="Q6" s="11" t="s">
        <v>48</v>
      </c>
    </row>
    <row r="7" spans="2:17" ht="24.9" customHeight="1" x14ac:dyDescent="0.25">
      <c r="B7" s="10"/>
      <c r="C7" s="10"/>
      <c r="D7" s="11"/>
      <c r="E7" s="11"/>
      <c r="F7" s="11"/>
      <c r="G7" s="11"/>
      <c r="H7" s="11"/>
      <c r="I7" s="11"/>
      <c r="J7" s="11"/>
      <c r="K7" s="11"/>
      <c r="L7" s="11"/>
      <c r="M7" s="11"/>
      <c r="N7" s="11"/>
      <c r="O7" s="11"/>
      <c r="P7" s="11"/>
      <c r="Q7" s="11"/>
    </row>
    <row r="8" spans="2:17" ht="24.9" customHeight="1" x14ac:dyDescent="0.25">
      <c r="B8" s="10" t="s">
        <v>412</v>
      </c>
      <c r="C8" s="10" t="s">
        <v>413</v>
      </c>
      <c r="D8" s="11" t="s">
        <v>48</v>
      </c>
      <c r="E8" s="11" t="s">
        <v>37</v>
      </c>
      <c r="F8" s="11" t="s">
        <v>431</v>
      </c>
      <c r="G8" s="11" t="s">
        <v>53</v>
      </c>
      <c r="H8" s="11" t="s">
        <v>432</v>
      </c>
      <c r="I8" s="11" t="s">
        <v>52</v>
      </c>
      <c r="J8" s="11" t="s">
        <v>433</v>
      </c>
      <c r="K8" s="11" t="s">
        <v>434</v>
      </c>
      <c r="L8" s="11" t="s">
        <v>48</v>
      </c>
      <c r="M8" s="11" t="s">
        <v>46</v>
      </c>
      <c r="N8" s="11" t="s">
        <v>48</v>
      </c>
      <c r="O8" s="11" t="s">
        <v>37</v>
      </c>
      <c r="P8" s="11" t="s">
        <v>48</v>
      </c>
      <c r="Q8" s="11" t="s">
        <v>48</v>
      </c>
    </row>
    <row r="9" spans="2:17" ht="24.9" customHeight="1" x14ac:dyDescent="0.25">
      <c r="B9" s="10" t="s">
        <v>414</v>
      </c>
      <c r="C9" s="10" t="s">
        <v>413</v>
      </c>
      <c r="D9" s="11" t="s">
        <v>48</v>
      </c>
      <c r="E9" s="11" t="s">
        <v>37</v>
      </c>
      <c r="F9" s="11" t="s">
        <v>436</v>
      </c>
      <c r="G9" s="11" t="s">
        <v>53</v>
      </c>
      <c r="H9" s="11" t="s">
        <v>437</v>
      </c>
      <c r="I9" s="11" t="s">
        <v>438</v>
      </c>
      <c r="J9" s="11" t="s">
        <v>439</v>
      </c>
      <c r="K9" s="11" t="s">
        <v>434</v>
      </c>
      <c r="L9" s="11" t="s">
        <v>48</v>
      </c>
      <c r="M9" s="11" t="s">
        <v>440</v>
      </c>
      <c r="N9" s="11" t="s">
        <v>48</v>
      </c>
      <c r="O9" s="11" t="s">
        <v>44</v>
      </c>
      <c r="P9" s="11" t="s">
        <v>48</v>
      </c>
      <c r="Q9" s="11" t="s">
        <v>48</v>
      </c>
    </row>
    <row r="10" spans="2:17" ht="24.9" customHeight="1" x14ac:dyDescent="0.25">
      <c r="B10" s="10"/>
      <c r="C10" s="10"/>
      <c r="D10" s="11"/>
      <c r="E10" s="11"/>
      <c r="F10" s="11"/>
      <c r="G10" s="11"/>
      <c r="H10" s="11"/>
      <c r="I10" s="11"/>
      <c r="J10" s="11"/>
      <c r="K10" s="11"/>
      <c r="L10" s="11"/>
      <c r="M10" s="11"/>
      <c r="N10" s="11"/>
      <c r="O10" s="11"/>
      <c r="P10" s="11"/>
      <c r="Q10" s="11"/>
    </row>
    <row r="11" spans="2:17" ht="24.9" customHeight="1" x14ac:dyDescent="0.25">
      <c r="B11" s="10" t="s">
        <v>49</v>
      </c>
      <c r="C11" s="10" t="s">
        <v>413</v>
      </c>
      <c r="D11" s="11" t="s">
        <v>429</v>
      </c>
      <c r="E11" s="11" t="s">
        <v>48</v>
      </c>
      <c r="F11" s="11" t="s">
        <v>441</v>
      </c>
      <c r="G11" s="11" t="s">
        <v>37</v>
      </c>
      <c r="H11" s="11" t="s">
        <v>442</v>
      </c>
      <c r="I11" s="11" t="s">
        <v>48</v>
      </c>
      <c r="J11" s="11" t="s">
        <v>37</v>
      </c>
      <c r="K11" s="11" t="s">
        <v>48</v>
      </c>
      <c r="L11" s="11" t="s">
        <v>48</v>
      </c>
      <c r="M11" s="11" t="s">
        <v>48</v>
      </c>
      <c r="N11" s="11" t="s">
        <v>48</v>
      </c>
      <c r="O11" s="11" t="s">
        <v>48</v>
      </c>
      <c r="P11" s="11" t="s">
        <v>48</v>
      </c>
      <c r="Q11" s="11" t="s">
        <v>48</v>
      </c>
    </row>
    <row r="12" spans="2:17" ht="24.9" customHeight="1" x14ac:dyDescent="0.25">
      <c r="B12" s="10" t="s">
        <v>50</v>
      </c>
      <c r="C12" s="10" t="s">
        <v>413</v>
      </c>
      <c r="D12" s="11" t="s">
        <v>42</v>
      </c>
      <c r="E12" s="11" t="s">
        <v>37</v>
      </c>
      <c r="F12" s="11" t="s">
        <v>443</v>
      </c>
      <c r="G12" s="11" t="s">
        <v>37</v>
      </c>
      <c r="H12" s="11" t="s">
        <v>444</v>
      </c>
      <c r="I12" s="11" t="s">
        <v>48</v>
      </c>
      <c r="J12" s="11" t="s">
        <v>48</v>
      </c>
      <c r="K12" s="11" t="s">
        <v>48</v>
      </c>
      <c r="L12" s="11" t="s">
        <v>48</v>
      </c>
      <c r="M12" s="11" t="s">
        <v>48</v>
      </c>
      <c r="N12" s="11" t="s">
        <v>48</v>
      </c>
      <c r="O12" s="11" t="s">
        <v>48</v>
      </c>
      <c r="P12" s="11" t="s">
        <v>48</v>
      </c>
      <c r="Q12" s="11" t="s">
        <v>48</v>
      </c>
    </row>
    <row r="13" spans="2:17" ht="24.9" customHeight="1" x14ac:dyDescent="0.25">
      <c r="B13" s="10"/>
      <c r="C13" s="10"/>
      <c r="D13" s="11"/>
      <c r="E13" s="11"/>
      <c r="F13" s="11"/>
      <c r="G13" s="11"/>
      <c r="H13" s="11"/>
      <c r="I13" s="11"/>
      <c r="J13" s="11"/>
      <c r="K13" s="11"/>
      <c r="L13" s="11"/>
      <c r="M13" s="11"/>
      <c r="N13" s="11"/>
      <c r="O13" s="11"/>
      <c r="P13" s="11"/>
      <c r="Q13" s="11"/>
    </row>
    <row r="14" spans="2:17" ht="24.9" customHeight="1" x14ac:dyDescent="0.25">
      <c r="B14" s="10" t="s">
        <v>35</v>
      </c>
      <c r="C14" s="10" t="s">
        <v>1446</v>
      </c>
      <c r="D14" s="11" t="s">
        <v>48</v>
      </c>
      <c r="E14" s="11" t="s">
        <v>48</v>
      </c>
      <c r="F14" s="11" t="s">
        <v>48</v>
      </c>
      <c r="G14" s="11" t="s">
        <v>48</v>
      </c>
      <c r="H14" s="11" t="s">
        <v>44</v>
      </c>
      <c r="I14" s="11" t="s">
        <v>48</v>
      </c>
      <c r="J14" s="11" t="s">
        <v>445</v>
      </c>
      <c r="K14" s="11" t="s">
        <v>48</v>
      </c>
      <c r="L14" s="11" t="s">
        <v>48</v>
      </c>
      <c r="M14" s="11" t="s">
        <v>48</v>
      </c>
      <c r="N14" s="11" t="s">
        <v>48</v>
      </c>
      <c r="O14" s="11" t="s">
        <v>48</v>
      </c>
      <c r="P14" s="11" t="s">
        <v>48</v>
      </c>
      <c r="Q14" s="11" t="s">
        <v>48</v>
      </c>
    </row>
    <row r="15" spans="2:17" ht="24.9" customHeight="1" x14ac:dyDescent="0.25">
      <c r="B15" s="10" t="s">
        <v>410</v>
      </c>
      <c r="C15" s="10" t="s">
        <v>1446</v>
      </c>
      <c r="D15" s="11" t="s">
        <v>48</v>
      </c>
      <c r="E15" s="11" t="s">
        <v>48</v>
      </c>
      <c r="F15" s="11" t="s">
        <v>48</v>
      </c>
      <c r="G15" s="11" t="s">
        <v>44</v>
      </c>
      <c r="H15" s="11" t="s">
        <v>435</v>
      </c>
      <c r="I15" s="11" t="s">
        <v>48</v>
      </c>
      <c r="J15" s="11" t="s">
        <v>446</v>
      </c>
      <c r="K15" s="11" t="s">
        <v>37</v>
      </c>
      <c r="L15" s="11" t="s">
        <v>48</v>
      </c>
      <c r="M15" s="11" t="s">
        <v>48</v>
      </c>
      <c r="N15" s="11" t="s">
        <v>48</v>
      </c>
      <c r="O15" s="11" t="s">
        <v>48</v>
      </c>
      <c r="P15" s="11" t="s">
        <v>48</v>
      </c>
      <c r="Q15" s="11" t="s">
        <v>48</v>
      </c>
    </row>
    <row r="16" spans="2:17" ht="24.9" customHeight="1" x14ac:dyDescent="0.25">
      <c r="B16" s="10" t="s">
        <v>411</v>
      </c>
      <c r="C16" s="10" t="s">
        <v>1446</v>
      </c>
      <c r="D16" s="11" t="s">
        <v>48</v>
      </c>
      <c r="E16" s="11" t="s">
        <v>48</v>
      </c>
      <c r="F16" s="11" t="s">
        <v>48</v>
      </c>
      <c r="G16" s="11" t="s">
        <v>44</v>
      </c>
      <c r="H16" s="11" t="s">
        <v>42</v>
      </c>
      <c r="I16" s="11" t="s">
        <v>48</v>
      </c>
      <c r="J16" s="11" t="s">
        <v>447</v>
      </c>
      <c r="K16" s="11" t="s">
        <v>44</v>
      </c>
      <c r="L16" s="11" t="s">
        <v>48</v>
      </c>
      <c r="M16" s="11" t="s">
        <v>48</v>
      </c>
      <c r="N16" s="11" t="s">
        <v>48</v>
      </c>
      <c r="O16" s="11" t="s">
        <v>48</v>
      </c>
      <c r="P16" s="11" t="s">
        <v>48</v>
      </c>
      <c r="Q16" s="11" t="s">
        <v>48</v>
      </c>
    </row>
    <row r="17" spans="2:17" ht="24.9" customHeight="1" x14ac:dyDescent="0.25">
      <c r="B17" s="10"/>
      <c r="C17" s="10"/>
      <c r="D17" s="11"/>
      <c r="E17" s="11"/>
      <c r="F17" s="11"/>
      <c r="G17" s="11"/>
      <c r="H17" s="11"/>
      <c r="I17" s="11"/>
      <c r="J17" s="11"/>
      <c r="K17" s="11"/>
      <c r="L17" s="11"/>
      <c r="M17" s="11"/>
      <c r="N17" s="11"/>
      <c r="O17" s="11"/>
      <c r="P17" s="11"/>
      <c r="Q17" s="11"/>
    </row>
    <row r="18" spans="2:17" ht="24.9" customHeight="1" x14ac:dyDescent="0.25">
      <c r="B18" s="10" t="s">
        <v>412</v>
      </c>
      <c r="C18" s="10" t="s">
        <v>415</v>
      </c>
      <c r="D18" s="11" t="s">
        <v>48</v>
      </c>
      <c r="E18" s="11" t="s">
        <v>48</v>
      </c>
      <c r="F18" s="11" t="s">
        <v>48</v>
      </c>
      <c r="G18" s="11" t="s">
        <v>37</v>
      </c>
      <c r="H18" s="11" t="s">
        <v>48</v>
      </c>
      <c r="I18" s="11" t="s">
        <v>48</v>
      </c>
      <c r="J18" s="11" t="s">
        <v>448</v>
      </c>
      <c r="K18" s="11" t="s">
        <v>48</v>
      </c>
      <c r="L18" s="11" t="s">
        <v>48</v>
      </c>
      <c r="M18" s="11" t="s">
        <v>48</v>
      </c>
      <c r="N18" s="11" t="s">
        <v>48</v>
      </c>
      <c r="O18" s="11" t="s">
        <v>48</v>
      </c>
      <c r="P18" s="11" t="s">
        <v>48</v>
      </c>
      <c r="Q18" s="11" t="s">
        <v>48</v>
      </c>
    </row>
    <row r="19" spans="2:17" ht="24.9" customHeight="1" x14ac:dyDescent="0.25">
      <c r="B19" s="10" t="s">
        <v>414</v>
      </c>
      <c r="C19" s="10" t="s">
        <v>415</v>
      </c>
      <c r="D19" s="11" t="s">
        <v>48</v>
      </c>
      <c r="E19" s="11" t="s">
        <v>37</v>
      </c>
      <c r="F19" s="11" t="s">
        <v>449</v>
      </c>
      <c r="G19" s="11" t="s">
        <v>450</v>
      </c>
      <c r="H19" s="11" t="s">
        <v>451</v>
      </c>
      <c r="I19" s="11" t="s">
        <v>427</v>
      </c>
      <c r="J19" s="11" t="s">
        <v>452</v>
      </c>
      <c r="K19" s="11" t="s">
        <v>434</v>
      </c>
      <c r="L19" s="11" t="s">
        <v>48</v>
      </c>
      <c r="M19" s="11" t="s">
        <v>453</v>
      </c>
      <c r="N19" s="11" t="s">
        <v>48</v>
      </c>
      <c r="O19" s="11" t="s">
        <v>44</v>
      </c>
      <c r="P19" s="11" t="s">
        <v>48</v>
      </c>
      <c r="Q19" s="11" t="s">
        <v>48</v>
      </c>
    </row>
    <row r="20" spans="2:17" ht="24.9" customHeight="1" x14ac:dyDescent="0.25">
      <c r="B20" s="10"/>
      <c r="C20" s="10"/>
      <c r="D20" s="11"/>
      <c r="E20" s="11"/>
      <c r="F20" s="11"/>
      <c r="G20" s="11"/>
      <c r="H20" s="11"/>
      <c r="I20" s="11"/>
      <c r="J20" s="11"/>
      <c r="K20" s="11"/>
      <c r="L20" s="11"/>
      <c r="M20" s="11"/>
      <c r="N20" s="11"/>
      <c r="O20" s="11"/>
      <c r="P20" s="11"/>
      <c r="Q20" s="11"/>
    </row>
    <row r="21" spans="2:17" ht="24.9" customHeight="1" x14ac:dyDescent="0.25">
      <c r="B21" s="10" t="s">
        <v>49</v>
      </c>
      <c r="C21" s="10" t="s">
        <v>415</v>
      </c>
      <c r="D21" s="11" t="s">
        <v>48</v>
      </c>
      <c r="E21" s="11" t="s">
        <v>48</v>
      </c>
      <c r="F21" s="11" t="s">
        <v>48</v>
      </c>
      <c r="G21" s="11" t="s">
        <v>37</v>
      </c>
      <c r="H21" s="11" t="s">
        <v>454</v>
      </c>
      <c r="I21" s="11" t="s">
        <v>48</v>
      </c>
      <c r="J21" s="11" t="s">
        <v>455</v>
      </c>
      <c r="K21" s="11" t="s">
        <v>41</v>
      </c>
      <c r="L21" s="11" t="s">
        <v>48</v>
      </c>
      <c r="M21" s="11" t="s">
        <v>48</v>
      </c>
      <c r="N21" s="11" t="s">
        <v>41</v>
      </c>
      <c r="O21" s="11" t="s">
        <v>48</v>
      </c>
      <c r="P21" s="11" t="s">
        <v>48</v>
      </c>
      <c r="Q21" s="11" t="s">
        <v>37</v>
      </c>
    </row>
    <row r="22" spans="2:17" ht="24.9" customHeight="1" x14ac:dyDescent="0.25">
      <c r="B22" s="10" t="s">
        <v>50</v>
      </c>
      <c r="C22" s="10" t="s">
        <v>415</v>
      </c>
      <c r="D22" s="11" t="s">
        <v>42</v>
      </c>
      <c r="E22" s="11" t="s">
        <v>37</v>
      </c>
      <c r="F22" s="11" t="s">
        <v>456</v>
      </c>
      <c r="G22" s="11" t="s">
        <v>37</v>
      </c>
      <c r="H22" s="11" t="s">
        <v>457</v>
      </c>
      <c r="I22" s="11" t="s">
        <v>48</v>
      </c>
      <c r="J22" s="11" t="s">
        <v>48</v>
      </c>
      <c r="K22" s="11" t="s">
        <v>48</v>
      </c>
      <c r="L22" s="11" t="s">
        <v>48</v>
      </c>
      <c r="M22" s="11" t="s">
        <v>48</v>
      </c>
      <c r="N22" s="11" t="s">
        <v>48</v>
      </c>
      <c r="O22" s="11" t="s">
        <v>48</v>
      </c>
      <c r="P22" s="11" t="s">
        <v>48</v>
      </c>
      <c r="Q22" s="11" t="s">
        <v>48</v>
      </c>
    </row>
    <row r="23" spans="2:17" ht="24.9" customHeight="1" x14ac:dyDescent="0.25">
      <c r="B23" s="10"/>
      <c r="C23" s="10"/>
      <c r="D23" s="11"/>
      <c r="E23" s="11"/>
      <c r="F23" s="11"/>
      <c r="G23" s="11"/>
      <c r="H23" s="11"/>
      <c r="I23" s="11"/>
      <c r="J23" s="11"/>
      <c r="K23" s="11"/>
      <c r="L23" s="11"/>
      <c r="M23" s="11"/>
      <c r="N23" s="11"/>
      <c r="O23" s="11"/>
      <c r="P23" s="11"/>
      <c r="Q23" s="11"/>
    </row>
    <row r="24" spans="2:17" ht="24.9" customHeight="1" x14ac:dyDescent="0.25">
      <c r="B24" s="10" t="s">
        <v>35</v>
      </c>
      <c r="C24" s="10" t="s">
        <v>416</v>
      </c>
      <c r="D24" s="11" t="s">
        <v>48</v>
      </c>
      <c r="E24" s="11" t="s">
        <v>44</v>
      </c>
      <c r="F24" s="11" t="s">
        <v>458</v>
      </c>
      <c r="G24" s="11" t="s">
        <v>459</v>
      </c>
      <c r="H24" s="11" t="s">
        <v>460</v>
      </c>
      <c r="I24" s="11" t="s">
        <v>52</v>
      </c>
      <c r="J24" s="11" t="s">
        <v>461</v>
      </c>
      <c r="K24" s="11" t="s">
        <v>44</v>
      </c>
      <c r="L24" s="11" t="s">
        <v>48</v>
      </c>
      <c r="M24" s="11" t="s">
        <v>48</v>
      </c>
      <c r="N24" s="11" t="s">
        <v>48</v>
      </c>
      <c r="O24" s="11" t="s">
        <v>48</v>
      </c>
      <c r="P24" s="11" t="s">
        <v>48</v>
      </c>
      <c r="Q24" s="11" t="s">
        <v>48</v>
      </c>
    </row>
    <row r="25" spans="2:17" ht="24.9" customHeight="1" x14ac:dyDescent="0.25">
      <c r="B25" s="10" t="s">
        <v>410</v>
      </c>
      <c r="C25" s="10" t="s">
        <v>416</v>
      </c>
      <c r="D25" s="11" t="s">
        <v>48</v>
      </c>
      <c r="E25" s="11" t="s">
        <v>44</v>
      </c>
      <c r="F25" s="11" t="s">
        <v>462</v>
      </c>
      <c r="G25" s="11" t="s">
        <v>463</v>
      </c>
      <c r="H25" s="11" t="s">
        <v>464</v>
      </c>
      <c r="I25" s="11" t="s">
        <v>52</v>
      </c>
      <c r="J25" s="11" t="s">
        <v>465</v>
      </c>
      <c r="K25" s="11" t="s">
        <v>37</v>
      </c>
      <c r="L25" s="11" t="s">
        <v>48</v>
      </c>
      <c r="M25" s="11" t="s">
        <v>48</v>
      </c>
      <c r="N25" s="11" t="s">
        <v>48</v>
      </c>
      <c r="O25" s="11" t="s">
        <v>48</v>
      </c>
      <c r="P25" s="11" t="s">
        <v>48</v>
      </c>
      <c r="Q25" s="11" t="s">
        <v>48</v>
      </c>
    </row>
    <row r="26" spans="2:17" ht="24.9" customHeight="1" x14ac:dyDescent="0.25">
      <c r="B26" s="10" t="s">
        <v>412</v>
      </c>
      <c r="C26" s="10" t="s">
        <v>416</v>
      </c>
      <c r="D26" s="11" t="s">
        <v>48</v>
      </c>
      <c r="E26" s="11" t="s">
        <v>44</v>
      </c>
      <c r="F26" s="11" t="s">
        <v>466</v>
      </c>
      <c r="G26" s="11" t="s">
        <v>467</v>
      </c>
      <c r="H26" s="11" t="s">
        <v>468</v>
      </c>
      <c r="I26" s="11" t="s">
        <v>52</v>
      </c>
      <c r="J26" s="11" t="s">
        <v>469</v>
      </c>
      <c r="K26" s="11" t="s">
        <v>42</v>
      </c>
      <c r="L26" s="11" t="s">
        <v>48</v>
      </c>
      <c r="M26" s="11" t="s">
        <v>470</v>
      </c>
      <c r="N26" s="11" t="s">
        <v>48</v>
      </c>
      <c r="O26" s="11" t="s">
        <v>48</v>
      </c>
      <c r="P26" s="11" t="s">
        <v>48</v>
      </c>
      <c r="Q26" s="11" t="s">
        <v>48</v>
      </c>
    </row>
    <row r="27" spans="2:17" ht="24.9" customHeight="1" x14ac:dyDescent="0.25">
      <c r="B27" s="10" t="s">
        <v>414</v>
      </c>
      <c r="C27" s="10" t="s">
        <v>416</v>
      </c>
      <c r="D27" s="11" t="s">
        <v>48</v>
      </c>
      <c r="E27" s="11" t="s">
        <v>44</v>
      </c>
      <c r="F27" s="11" t="s">
        <v>471</v>
      </c>
      <c r="G27" s="11" t="s">
        <v>467</v>
      </c>
      <c r="H27" s="11" t="s">
        <v>472</v>
      </c>
      <c r="I27" s="11" t="s">
        <v>52</v>
      </c>
      <c r="J27" s="11" t="s">
        <v>473</v>
      </c>
      <c r="K27" s="11" t="s">
        <v>42</v>
      </c>
      <c r="L27" s="11" t="s">
        <v>48</v>
      </c>
      <c r="M27" s="11" t="s">
        <v>45</v>
      </c>
      <c r="N27" s="11" t="s">
        <v>48</v>
      </c>
      <c r="O27" s="11" t="s">
        <v>48</v>
      </c>
      <c r="P27" s="11" t="s">
        <v>48</v>
      </c>
      <c r="Q27" s="11" t="s">
        <v>48</v>
      </c>
    </row>
    <row r="28" spans="2:17" ht="24.9" customHeight="1" x14ac:dyDescent="0.25">
      <c r="B28" s="10" t="s">
        <v>49</v>
      </c>
      <c r="C28" s="10" t="s">
        <v>416</v>
      </c>
      <c r="D28" s="11" t="s">
        <v>48</v>
      </c>
      <c r="E28" s="11" t="s">
        <v>48</v>
      </c>
      <c r="F28" s="11" t="s">
        <v>48</v>
      </c>
      <c r="G28" s="11" t="s">
        <v>48</v>
      </c>
      <c r="H28" s="11" t="s">
        <v>38</v>
      </c>
      <c r="I28" s="11" t="s">
        <v>48</v>
      </c>
      <c r="J28" s="11" t="s">
        <v>474</v>
      </c>
      <c r="K28" s="11" t="s">
        <v>475</v>
      </c>
      <c r="L28" s="11" t="s">
        <v>476</v>
      </c>
      <c r="M28" s="11" t="s">
        <v>48</v>
      </c>
      <c r="N28" s="11" t="s">
        <v>47</v>
      </c>
      <c r="O28" s="11" t="s">
        <v>48</v>
      </c>
      <c r="P28" s="11" t="s">
        <v>488</v>
      </c>
      <c r="Q28" s="11" t="s">
        <v>487</v>
      </c>
    </row>
    <row r="29" spans="2:17" ht="24.9" customHeight="1" x14ac:dyDescent="0.25">
      <c r="B29" s="10"/>
      <c r="C29" s="10"/>
      <c r="D29" s="1"/>
      <c r="E29" s="11"/>
      <c r="F29" s="11"/>
      <c r="G29" s="11"/>
      <c r="H29" s="11"/>
      <c r="I29" s="11"/>
      <c r="J29" s="11"/>
      <c r="K29" s="11"/>
      <c r="L29" s="11"/>
      <c r="M29" s="11"/>
      <c r="N29" s="11"/>
      <c r="O29" s="1"/>
      <c r="P29" s="11"/>
      <c r="Q29" s="11"/>
    </row>
    <row r="30" spans="2:17" ht="24.9" customHeight="1" x14ac:dyDescent="0.25">
      <c r="B30" s="10" t="s">
        <v>49</v>
      </c>
      <c r="C30" s="10" t="s">
        <v>417</v>
      </c>
      <c r="D30" s="11" t="s">
        <v>48</v>
      </c>
      <c r="E30" s="11" t="s">
        <v>48</v>
      </c>
      <c r="F30" s="11" t="s">
        <v>48</v>
      </c>
      <c r="G30" s="11" t="s">
        <v>48</v>
      </c>
      <c r="H30" s="11" t="s">
        <v>479</v>
      </c>
      <c r="I30" s="11" t="s">
        <v>48</v>
      </c>
      <c r="J30" s="11" t="s">
        <v>480</v>
      </c>
      <c r="K30" s="11" t="s">
        <v>481</v>
      </c>
      <c r="L30" s="11" t="s">
        <v>482</v>
      </c>
      <c r="M30" s="11" t="s">
        <v>48</v>
      </c>
      <c r="N30" s="11" t="s">
        <v>483</v>
      </c>
      <c r="O30" s="11" t="s">
        <v>48</v>
      </c>
      <c r="P30" s="11" t="s">
        <v>490</v>
      </c>
      <c r="Q30" s="11" t="s">
        <v>489</v>
      </c>
    </row>
    <row r="31" spans="2:17" ht="24.9" customHeight="1" x14ac:dyDescent="0.25">
      <c r="B31" s="10"/>
      <c r="C31" s="10"/>
      <c r="D31" s="1"/>
      <c r="E31" s="11"/>
      <c r="F31" s="11"/>
      <c r="G31" s="11"/>
      <c r="H31" s="11"/>
      <c r="I31" s="11"/>
      <c r="J31" s="11"/>
      <c r="K31" s="11"/>
      <c r="L31" s="11"/>
      <c r="M31" s="11"/>
      <c r="N31" s="11"/>
      <c r="O31" s="1"/>
      <c r="P31" s="11"/>
      <c r="Q31" s="11"/>
    </row>
    <row r="32" spans="2:17" ht="24.9" customHeight="1" x14ac:dyDescent="0.25">
      <c r="B32" s="10" t="s">
        <v>49</v>
      </c>
      <c r="C32" s="10" t="s">
        <v>1437</v>
      </c>
      <c r="D32" s="11" t="s">
        <v>48</v>
      </c>
      <c r="E32" s="11" t="s">
        <v>48</v>
      </c>
      <c r="F32" s="11" t="s">
        <v>48</v>
      </c>
      <c r="G32" s="11" t="s">
        <v>48</v>
      </c>
      <c r="H32" s="11" t="s">
        <v>48</v>
      </c>
      <c r="I32" s="11" t="s">
        <v>48</v>
      </c>
      <c r="J32" s="11" t="s">
        <v>48</v>
      </c>
      <c r="K32" s="11" t="s">
        <v>477</v>
      </c>
      <c r="L32" s="11" t="s">
        <v>48</v>
      </c>
      <c r="M32" s="11" t="s">
        <v>48</v>
      </c>
      <c r="N32" s="11" t="s">
        <v>478</v>
      </c>
      <c r="O32" s="11" t="s">
        <v>48</v>
      </c>
      <c r="P32" s="11" t="s">
        <v>44</v>
      </c>
      <c r="Q32" s="11" t="s">
        <v>37</v>
      </c>
    </row>
    <row r="33" spans="2:17" ht="24.9" customHeight="1" x14ac:dyDescent="0.25">
      <c r="B33" s="10" t="s">
        <v>35</v>
      </c>
      <c r="C33" s="10" t="s">
        <v>418</v>
      </c>
      <c r="D33" s="11" t="s">
        <v>48</v>
      </c>
      <c r="E33" s="11" t="s">
        <v>48</v>
      </c>
      <c r="F33" s="11" t="s">
        <v>48</v>
      </c>
      <c r="G33" s="11" t="s">
        <v>48</v>
      </c>
      <c r="H33" s="11" t="s">
        <v>48</v>
      </c>
      <c r="I33" s="11" t="s">
        <v>48</v>
      </c>
      <c r="J33" s="11" t="s">
        <v>48</v>
      </c>
      <c r="K33" s="11" t="s">
        <v>477</v>
      </c>
      <c r="L33" s="11" t="s">
        <v>48</v>
      </c>
      <c r="M33" s="11" t="s">
        <v>48</v>
      </c>
      <c r="N33" s="11" t="s">
        <v>484</v>
      </c>
      <c r="O33" s="11" t="s">
        <v>48</v>
      </c>
      <c r="P33" s="11" t="s">
        <v>44</v>
      </c>
      <c r="Q33" s="11" t="s">
        <v>37</v>
      </c>
    </row>
    <row r="34" spans="2:17" ht="24.9" customHeight="1" x14ac:dyDescent="0.25">
      <c r="B34" s="13" t="s">
        <v>35</v>
      </c>
      <c r="C34" s="13" t="s">
        <v>419</v>
      </c>
      <c r="D34" s="14" t="s">
        <v>48</v>
      </c>
      <c r="E34" s="14" t="s">
        <v>48</v>
      </c>
      <c r="F34" s="14" t="s">
        <v>48</v>
      </c>
      <c r="G34" s="14" t="s">
        <v>48</v>
      </c>
      <c r="H34" s="14" t="s">
        <v>48</v>
      </c>
      <c r="I34" s="14" t="s">
        <v>48</v>
      </c>
      <c r="J34" s="14" t="s">
        <v>48</v>
      </c>
      <c r="K34" s="14" t="s">
        <v>485</v>
      </c>
      <c r="L34" s="14" t="s">
        <v>48</v>
      </c>
      <c r="M34" s="14" t="s">
        <v>48</v>
      </c>
      <c r="N34" s="14" t="s">
        <v>486</v>
      </c>
      <c r="O34" s="14" t="s">
        <v>48</v>
      </c>
      <c r="P34" s="14" t="s">
        <v>44</v>
      </c>
      <c r="Q34" s="14" t="s">
        <v>44</v>
      </c>
    </row>
    <row r="35" spans="2:17" ht="24.9" customHeight="1" x14ac:dyDescent="0.25">
      <c r="B35" s="10"/>
      <c r="C35" s="10"/>
      <c r="D35" s="11"/>
      <c r="E35" s="11"/>
      <c r="F35" s="11"/>
      <c r="G35" s="11"/>
      <c r="H35" s="11"/>
      <c r="I35" s="11"/>
      <c r="J35" s="11"/>
      <c r="K35" s="11"/>
      <c r="L35" s="11"/>
      <c r="M35" s="11"/>
      <c r="N35" s="11"/>
      <c r="O35" s="11"/>
      <c r="P35" s="11"/>
      <c r="Q35" s="11"/>
    </row>
    <row r="36" spans="2:17" x14ac:dyDescent="0.25">
      <c r="B36" s="10"/>
      <c r="C36" s="10"/>
      <c r="D36" s="11"/>
      <c r="E36" s="11"/>
      <c r="F36" s="11"/>
      <c r="G36" s="11"/>
      <c r="H36" s="11"/>
      <c r="I36" s="11"/>
      <c r="J36" s="11"/>
      <c r="K36" s="11"/>
      <c r="L36" s="11"/>
      <c r="M36" s="11"/>
      <c r="N36" s="11"/>
      <c r="O36" s="11"/>
      <c r="P36" s="11"/>
      <c r="Q36" s="11"/>
    </row>
    <row r="37" spans="2:17" x14ac:dyDescent="0.25">
      <c r="B37" s="10"/>
      <c r="C37" s="10"/>
      <c r="D37" s="11"/>
      <c r="E37" s="11"/>
      <c r="F37" s="11"/>
      <c r="G37" s="11"/>
      <c r="H37" s="11"/>
      <c r="I37" s="11"/>
      <c r="J37" s="11"/>
      <c r="K37" s="11"/>
      <c r="L37" s="11"/>
      <c r="M37" s="11"/>
      <c r="N37" s="11"/>
      <c r="O37" s="11"/>
      <c r="P37" s="11"/>
      <c r="Q37" s="11"/>
    </row>
    <row r="38" spans="2:17" x14ac:dyDescent="0.25">
      <c r="B38" s="10"/>
      <c r="C38" s="10"/>
      <c r="D38" s="11"/>
      <c r="E38" s="11"/>
      <c r="F38" s="11"/>
      <c r="G38" s="11"/>
      <c r="H38" s="11"/>
      <c r="I38" s="11"/>
      <c r="J38" s="11"/>
      <c r="K38" s="11"/>
      <c r="L38" s="11"/>
      <c r="M38" s="11"/>
      <c r="N38" s="11"/>
      <c r="O38" s="11"/>
      <c r="P38" s="11"/>
      <c r="Q38" s="11"/>
    </row>
    <row r="39" spans="2:17" x14ac:dyDescent="0.25">
      <c r="B39" s="10"/>
      <c r="C39" s="10"/>
      <c r="D39" s="11"/>
      <c r="E39" s="11"/>
      <c r="F39" s="11"/>
      <c r="G39" s="11"/>
      <c r="H39" s="11"/>
      <c r="I39" s="11"/>
      <c r="J39" s="11"/>
      <c r="K39" s="11"/>
      <c r="L39" s="11"/>
      <c r="M39" s="11"/>
      <c r="N39" s="11"/>
      <c r="O39" s="11"/>
      <c r="P39" s="11"/>
      <c r="Q39" s="11"/>
    </row>
    <row r="40" spans="2:17" x14ac:dyDescent="0.25">
      <c r="B40" s="10"/>
      <c r="C40" s="10"/>
      <c r="D40" s="11"/>
      <c r="E40" s="11"/>
      <c r="F40" s="11"/>
      <c r="G40" s="11"/>
      <c r="H40" s="11"/>
      <c r="I40" s="11"/>
      <c r="J40" s="11"/>
      <c r="K40" s="11"/>
      <c r="L40" s="11"/>
      <c r="M40" s="11"/>
      <c r="N40" s="11"/>
      <c r="O40" s="11"/>
      <c r="P40" s="11"/>
      <c r="Q40" s="11"/>
    </row>
  </sheetData>
  <mergeCells count="1">
    <mergeCell ref="B2:Q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054C6-3B28-4CB9-8611-766145B78C42}">
  <dimension ref="B1:V20"/>
  <sheetViews>
    <sheetView zoomScale="70" zoomScaleNormal="70" workbookViewId="0">
      <selection activeCell="B21" sqref="B21"/>
    </sheetView>
  </sheetViews>
  <sheetFormatPr defaultColWidth="8.88671875" defaultRowHeight="24.9" customHeight="1" x14ac:dyDescent="0.3"/>
  <cols>
    <col min="1" max="1" width="6.33203125" style="10" customWidth="1"/>
    <col min="2" max="2" width="31.33203125" style="24" customWidth="1"/>
    <col min="3" max="3" width="10.33203125" style="33" customWidth="1"/>
    <col min="4" max="11" width="20.6640625" style="10" customWidth="1"/>
    <col min="12" max="12" width="17.33203125" style="10" customWidth="1"/>
    <col min="13" max="17" width="20.6640625" style="10" customWidth="1"/>
    <col min="18" max="18" width="17.33203125" style="10" customWidth="1"/>
    <col min="19" max="19" width="20.6640625" style="10" customWidth="1"/>
    <col min="20" max="16384" width="8.88671875" style="10"/>
  </cols>
  <sheetData>
    <row r="1" spans="2:22" ht="13.2" customHeight="1" x14ac:dyDescent="0.3"/>
    <row r="2" spans="2:22" s="1" customFormat="1" ht="13.8" thickBot="1" x14ac:dyDescent="0.3">
      <c r="B2" s="158" t="s">
        <v>1803</v>
      </c>
      <c r="C2" s="158"/>
      <c r="D2" s="158"/>
      <c r="E2" s="158"/>
      <c r="F2" s="158"/>
      <c r="G2" s="158"/>
      <c r="H2" s="158"/>
      <c r="I2" s="158"/>
      <c r="J2" s="158"/>
      <c r="K2" s="158"/>
      <c r="L2" s="158"/>
      <c r="M2" s="158"/>
      <c r="N2" s="158"/>
      <c r="O2" s="158"/>
      <c r="P2" s="158"/>
      <c r="Q2" s="158"/>
      <c r="R2" s="158"/>
      <c r="S2" s="158"/>
      <c r="T2" s="99"/>
      <c r="U2" s="99"/>
      <c r="V2" s="99"/>
    </row>
    <row r="3" spans="2:22" ht="24.9" customHeight="1" x14ac:dyDescent="0.3">
      <c r="B3" s="6" t="s">
        <v>631</v>
      </c>
      <c r="C3" s="29" t="s">
        <v>1011</v>
      </c>
      <c r="D3" s="7" t="s">
        <v>555</v>
      </c>
      <c r="E3" s="7" t="s">
        <v>556</v>
      </c>
      <c r="F3" s="7" t="s">
        <v>557</v>
      </c>
      <c r="G3" s="7" t="s">
        <v>558</v>
      </c>
      <c r="H3" s="7" t="s">
        <v>498</v>
      </c>
      <c r="I3" s="7" t="s">
        <v>502</v>
      </c>
      <c r="J3" s="7" t="s">
        <v>559</v>
      </c>
      <c r="K3" s="7" t="s">
        <v>503</v>
      </c>
      <c r="L3" s="7" t="s">
        <v>560</v>
      </c>
      <c r="M3" s="7" t="s">
        <v>504</v>
      </c>
      <c r="N3" s="7" t="s">
        <v>505</v>
      </c>
      <c r="O3" s="7" t="s">
        <v>499</v>
      </c>
      <c r="P3" s="7" t="s">
        <v>500</v>
      </c>
      <c r="Q3" s="7" t="s">
        <v>561</v>
      </c>
      <c r="R3" s="7" t="s">
        <v>562</v>
      </c>
      <c r="S3" s="7" t="s">
        <v>7</v>
      </c>
    </row>
    <row r="4" spans="2:22" ht="24.9" customHeight="1" x14ac:dyDescent="0.3">
      <c r="B4" s="23" t="s">
        <v>35</v>
      </c>
      <c r="C4" s="17">
        <v>0</v>
      </c>
      <c r="D4" s="11" t="s">
        <v>36</v>
      </c>
      <c r="E4" s="11" t="s">
        <v>885</v>
      </c>
      <c r="F4" s="11" t="s">
        <v>36</v>
      </c>
      <c r="G4" s="11" t="s">
        <v>886</v>
      </c>
      <c r="H4" s="11" t="s">
        <v>887</v>
      </c>
      <c r="I4" s="11" t="s">
        <v>36</v>
      </c>
      <c r="J4" s="11" t="s">
        <v>888</v>
      </c>
      <c r="K4" s="11" t="s">
        <v>889</v>
      </c>
      <c r="L4" s="11" t="s">
        <v>36</v>
      </c>
      <c r="M4" s="11" t="s">
        <v>890</v>
      </c>
      <c r="N4" s="11" t="s">
        <v>891</v>
      </c>
      <c r="O4" s="11" t="s">
        <v>1447</v>
      </c>
      <c r="P4" s="11" t="s">
        <v>892</v>
      </c>
      <c r="Q4" s="11" t="s">
        <v>893</v>
      </c>
      <c r="R4" s="11" t="s">
        <v>39</v>
      </c>
      <c r="S4" s="11" t="s">
        <v>1448</v>
      </c>
    </row>
    <row r="5" spans="2:22" ht="24.9" customHeight="1" x14ac:dyDescent="0.3">
      <c r="B5" s="23" t="s">
        <v>40</v>
      </c>
      <c r="C5" s="17">
        <v>0</v>
      </c>
      <c r="D5" s="11" t="s">
        <v>36</v>
      </c>
      <c r="E5" s="11" t="s">
        <v>894</v>
      </c>
      <c r="F5" s="11" t="s">
        <v>36</v>
      </c>
      <c r="G5" s="11" t="s">
        <v>895</v>
      </c>
      <c r="H5" s="11" t="s">
        <v>896</v>
      </c>
      <c r="I5" s="11" t="s">
        <v>1755</v>
      </c>
      <c r="J5" s="11" t="s">
        <v>897</v>
      </c>
      <c r="K5" s="11" t="s">
        <v>898</v>
      </c>
      <c r="L5" s="11" t="s">
        <v>36</v>
      </c>
      <c r="M5" s="11" t="s">
        <v>221</v>
      </c>
      <c r="N5" s="11" t="s">
        <v>899</v>
      </c>
      <c r="O5" s="11" t="s">
        <v>1449</v>
      </c>
      <c r="P5" s="11" t="s">
        <v>900</v>
      </c>
      <c r="Q5" s="11" t="s">
        <v>901</v>
      </c>
      <c r="R5" s="11" t="s">
        <v>39</v>
      </c>
      <c r="S5" s="11" t="s">
        <v>1450</v>
      </c>
    </row>
    <row r="6" spans="2:22" ht="24.9" customHeight="1" x14ac:dyDescent="0.3">
      <c r="B6" s="23" t="s">
        <v>43</v>
      </c>
      <c r="C6" s="17">
        <v>0</v>
      </c>
      <c r="D6" s="11" t="s">
        <v>36</v>
      </c>
      <c r="E6" s="11" t="s">
        <v>902</v>
      </c>
      <c r="F6" s="11" t="s">
        <v>36</v>
      </c>
      <c r="G6" s="11" t="s">
        <v>903</v>
      </c>
      <c r="H6" s="11" t="s">
        <v>904</v>
      </c>
      <c r="I6" s="11" t="s">
        <v>36</v>
      </c>
      <c r="J6" s="11" t="s">
        <v>905</v>
      </c>
      <c r="K6" s="11" t="s">
        <v>906</v>
      </c>
      <c r="L6" s="11" t="s">
        <v>36</v>
      </c>
      <c r="M6" s="11" t="s">
        <v>39</v>
      </c>
      <c r="N6" s="11" t="s">
        <v>907</v>
      </c>
      <c r="O6" s="11" t="s">
        <v>1451</v>
      </c>
      <c r="P6" s="11" t="s">
        <v>908</v>
      </c>
      <c r="Q6" s="11" t="s">
        <v>39</v>
      </c>
      <c r="R6" s="11" t="s">
        <v>909</v>
      </c>
      <c r="S6" s="11" t="s">
        <v>1452</v>
      </c>
    </row>
    <row r="7" spans="2:22" ht="24.9" customHeight="1" x14ac:dyDescent="0.3">
      <c r="B7" s="23" t="s">
        <v>412</v>
      </c>
      <c r="C7" s="17">
        <v>0</v>
      </c>
      <c r="D7" s="11" t="s">
        <v>36</v>
      </c>
      <c r="E7" s="11" t="s">
        <v>1453</v>
      </c>
      <c r="F7" s="11" t="s">
        <v>1454</v>
      </c>
      <c r="G7" s="11" t="s">
        <v>1455</v>
      </c>
      <c r="H7" s="11" t="s">
        <v>910</v>
      </c>
      <c r="I7" s="11" t="s">
        <v>36</v>
      </c>
      <c r="J7" s="11" t="s">
        <v>911</v>
      </c>
      <c r="K7" s="11" t="s">
        <v>1456</v>
      </c>
      <c r="L7" s="11" t="s">
        <v>36</v>
      </c>
      <c r="M7" s="11" t="s">
        <v>1457</v>
      </c>
      <c r="N7" s="11" t="s">
        <v>913</v>
      </c>
      <c r="O7" s="11" t="s">
        <v>1458</v>
      </c>
      <c r="P7" s="11" t="s">
        <v>1459</v>
      </c>
      <c r="Q7" s="11" t="s">
        <v>914</v>
      </c>
      <c r="R7" s="11" t="s">
        <v>36</v>
      </c>
      <c r="S7" s="11" t="s">
        <v>1460</v>
      </c>
    </row>
    <row r="8" spans="2:22" ht="24.9" customHeight="1" x14ac:dyDescent="0.3">
      <c r="B8" s="23" t="s">
        <v>414</v>
      </c>
      <c r="C8" s="17">
        <v>0</v>
      </c>
      <c r="D8" s="11" t="s">
        <v>36</v>
      </c>
      <c r="E8" s="11" t="s">
        <v>1461</v>
      </c>
      <c r="F8" s="11" t="s">
        <v>1462</v>
      </c>
      <c r="G8" s="11" t="s">
        <v>1463</v>
      </c>
      <c r="H8" s="11" t="s">
        <v>915</v>
      </c>
      <c r="I8" s="11" t="s">
        <v>916</v>
      </c>
      <c r="J8" s="11" t="s">
        <v>917</v>
      </c>
      <c r="K8" s="11" t="s">
        <v>1464</v>
      </c>
      <c r="L8" s="11" t="s">
        <v>36</v>
      </c>
      <c r="M8" s="11" t="s">
        <v>1465</v>
      </c>
      <c r="N8" s="11" t="s">
        <v>918</v>
      </c>
      <c r="O8" s="11" t="s">
        <v>1466</v>
      </c>
      <c r="P8" s="11" t="s">
        <v>1467</v>
      </c>
      <c r="Q8" s="11" t="s">
        <v>598</v>
      </c>
      <c r="R8" s="11" t="s">
        <v>36</v>
      </c>
      <c r="S8" s="11" t="s">
        <v>1468</v>
      </c>
    </row>
    <row r="9" spans="2:22" ht="24.9" customHeight="1" x14ac:dyDescent="0.3">
      <c r="B9" s="23" t="s">
        <v>49</v>
      </c>
      <c r="C9" s="17">
        <v>0</v>
      </c>
      <c r="D9" s="11" t="s">
        <v>919</v>
      </c>
      <c r="E9" s="11" t="s">
        <v>920</v>
      </c>
      <c r="F9" s="11" t="s">
        <v>921</v>
      </c>
      <c r="G9" s="11" t="s">
        <v>922</v>
      </c>
      <c r="H9" s="11" t="s">
        <v>923</v>
      </c>
      <c r="I9" s="11" t="s">
        <v>924</v>
      </c>
      <c r="J9" s="11" t="s">
        <v>925</v>
      </c>
      <c r="K9" s="11" t="s">
        <v>926</v>
      </c>
      <c r="L9" s="11" t="s">
        <v>927</v>
      </c>
      <c r="M9" s="11" t="s">
        <v>928</v>
      </c>
      <c r="N9" s="11" t="s">
        <v>929</v>
      </c>
      <c r="O9" s="11" t="s">
        <v>1469</v>
      </c>
      <c r="P9" s="11" t="s">
        <v>930</v>
      </c>
      <c r="Q9" s="11" t="s">
        <v>931</v>
      </c>
      <c r="R9" s="11" t="s">
        <v>932</v>
      </c>
      <c r="S9" s="11" t="s">
        <v>1513</v>
      </c>
    </row>
    <row r="10" spans="2:22" ht="24.9" customHeight="1" x14ac:dyDescent="0.3">
      <c r="B10" s="23" t="s">
        <v>50</v>
      </c>
      <c r="C10" s="17">
        <v>0</v>
      </c>
      <c r="D10" s="11" t="s">
        <v>933</v>
      </c>
      <c r="E10" s="11" t="s">
        <v>934</v>
      </c>
      <c r="F10" s="11" t="s">
        <v>935</v>
      </c>
      <c r="G10" s="11" t="s">
        <v>936</v>
      </c>
      <c r="H10" s="11" t="s">
        <v>937</v>
      </c>
      <c r="I10" s="11" t="s">
        <v>938</v>
      </c>
      <c r="J10" s="11" t="s">
        <v>939</v>
      </c>
      <c r="K10" s="11" t="s">
        <v>940</v>
      </c>
      <c r="L10" s="11" t="s">
        <v>36</v>
      </c>
      <c r="M10" s="11" t="s">
        <v>941</v>
      </c>
      <c r="N10" s="11" t="s">
        <v>942</v>
      </c>
      <c r="O10" s="11" t="s">
        <v>1470</v>
      </c>
      <c r="P10" s="11" t="s">
        <v>943</v>
      </c>
      <c r="Q10" s="11" t="s">
        <v>944</v>
      </c>
      <c r="R10" s="11" t="s">
        <v>945</v>
      </c>
      <c r="S10" s="11" t="s">
        <v>1514</v>
      </c>
    </row>
    <row r="11" spans="2:22" ht="24.9" customHeight="1" thickBot="1" x14ac:dyDescent="0.35">
      <c r="B11" s="67" t="s">
        <v>51</v>
      </c>
      <c r="C11" s="47">
        <v>0</v>
      </c>
      <c r="D11" s="14" t="s">
        <v>946</v>
      </c>
      <c r="E11" s="14" t="s">
        <v>947</v>
      </c>
      <c r="F11" s="14" t="s">
        <v>948</v>
      </c>
      <c r="G11" s="14" t="s">
        <v>949</v>
      </c>
      <c r="H11" s="14" t="s">
        <v>950</v>
      </c>
      <c r="I11" s="14" t="s">
        <v>1472</v>
      </c>
      <c r="J11" s="14" t="s">
        <v>1473</v>
      </c>
      <c r="K11" s="14" t="s">
        <v>951</v>
      </c>
      <c r="L11" s="14" t="s">
        <v>952</v>
      </c>
      <c r="M11" s="14" t="s">
        <v>953</v>
      </c>
      <c r="N11" s="14" t="s">
        <v>954</v>
      </c>
      <c r="O11" s="14" t="s">
        <v>955</v>
      </c>
      <c r="P11" s="14" t="s">
        <v>956</v>
      </c>
      <c r="Q11" s="14" t="s">
        <v>1474</v>
      </c>
      <c r="R11" s="14" t="s">
        <v>1475</v>
      </c>
      <c r="S11" s="14" t="s">
        <v>1471</v>
      </c>
    </row>
    <row r="12" spans="2:22" ht="24.9" customHeight="1" x14ac:dyDescent="0.3">
      <c r="B12" s="6" t="s">
        <v>631</v>
      </c>
      <c r="C12" s="29" t="s">
        <v>1011</v>
      </c>
      <c r="D12" s="7" t="s">
        <v>555</v>
      </c>
      <c r="E12" s="7" t="s">
        <v>556</v>
      </c>
      <c r="F12" s="7" t="s">
        <v>557</v>
      </c>
      <c r="G12" s="7" t="s">
        <v>558</v>
      </c>
      <c r="H12" s="7" t="s">
        <v>498</v>
      </c>
      <c r="I12" s="7" t="s">
        <v>502</v>
      </c>
      <c r="J12" s="7" t="s">
        <v>559</v>
      </c>
      <c r="K12" s="7" t="s">
        <v>503</v>
      </c>
      <c r="L12" s="7" t="s">
        <v>560</v>
      </c>
      <c r="M12" s="7" t="s">
        <v>504</v>
      </c>
      <c r="N12" s="7" t="s">
        <v>505</v>
      </c>
      <c r="O12" s="7" t="s">
        <v>499</v>
      </c>
      <c r="P12" s="7" t="s">
        <v>500</v>
      </c>
      <c r="Q12" s="7" t="s">
        <v>561</v>
      </c>
      <c r="R12" s="7" t="s">
        <v>562</v>
      </c>
      <c r="S12" s="7" t="s">
        <v>7</v>
      </c>
    </row>
    <row r="13" spans="2:22" ht="24.9" customHeight="1" x14ac:dyDescent="0.3">
      <c r="B13" s="23" t="s">
        <v>1374</v>
      </c>
      <c r="C13" s="17">
        <v>500</v>
      </c>
      <c r="D13" s="11" t="s">
        <v>1476</v>
      </c>
      <c r="E13" s="11" t="s">
        <v>1477</v>
      </c>
      <c r="F13" s="11" t="s">
        <v>36</v>
      </c>
      <c r="G13" s="11" t="s">
        <v>1478</v>
      </c>
      <c r="H13" s="11" t="s">
        <v>1479</v>
      </c>
      <c r="I13" s="11" t="s">
        <v>1480</v>
      </c>
      <c r="J13" s="11" t="s">
        <v>1481</v>
      </c>
      <c r="K13" s="11" t="s">
        <v>1482</v>
      </c>
      <c r="L13" s="11" t="s">
        <v>36</v>
      </c>
      <c r="M13" s="11" t="s">
        <v>957</v>
      </c>
      <c r="N13" s="11" t="s">
        <v>1483</v>
      </c>
      <c r="O13" s="11" t="s">
        <v>1484</v>
      </c>
      <c r="P13" s="11" t="s">
        <v>1485</v>
      </c>
      <c r="Q13" s="11" t="s">
        <v>974</v>
      </c>
      <c r="R13" s="11" t="s">
        <v>912</v>
      </c>
      <c r="S13" s="11" t="s">
        <v>1486</v>
      </c>
    </row>
    <row r="14" spans="2:22" ht="24.9" customHeight="1" x14ac:dyDescent="0.3">
      <c r="B14" s="23" t="s">
        <v>1375</v>
      </c>
      <c r="C14" s="17">
        <v>500</v>
      </c>
      <c r="D14" s="11" t="s">
        <v>1487</v>
      </c>
      <c r="E14" s="11" t="s">
        <v>1488</v>
      </c>
      <c r="F14" s="11" t="s">
        <v>36</v>
      </c>
      <c r="G14" s="11" t="s">
        <v>1489</v>
      </c>
      <c r="H14" s="11" t="s">
        <v>1490</v>
      </c>
      <c r="I14" s="11" t="s">
        <v>1491</v>
      </c>
      <c r="J14" s="11" t="s">
        <v>1492</v>
      </c>
      <c r="K14" s="11" t="s">
        <v>1493</v>
      </c>
      <c r="L14" s="11" t="s">
        <v>36</v>
      </c>
      <c r="M14" s="11" t="s">
        <v>36</v>
      </c>
      <c r="N14" s="11" t="s">
        <v>1494</v>
      </c>
      <c r="O14" s="11" t="s">
        <v>1495</v>
      </c>
      <c r="P14" s="11" t="s">
        <v>1496</v>
      </c>
      <c r="Q14" s="11" t="s">
        <v>755</v>
      </c>
      <c r="R14" s="11" t="s">
        <v>755</v>
      </c>
      <c r="S14" s="11" t="s">
        <v>1497</v>
      </c>
    </row>
    <row r="15" spans="2:22" ht="24.9" customHeight="1" x14ac:dyDescent="0.3">
      <c r="B15" s="23" t="s">
        <v>1376</v>
      </c>
      <c r="C15" s="17">
        <v>500</v>
      </c>
      <c r="D15" s="11" t="s">
        <v>958</v>
      </c>
      <c r="E15" s="11" t="s">
        <v>959</v>
      </c>
      <c r="F15" s="11" t="s">
        <v>36</v>
      </c>
      <c r="G15" s="11" t="s">
        <v>960</v>
      </c>
      <c r="H15" s="11" t="s">
        <v>961</v>
      </c>
      <c r="I15" s="11" t="s">
        <v>962</v>
      </c>
      <c r="J15" s="11" t="s">
        <v>963</v>
      </c>
      <c r="K15" s="11" t="s">
        <v>964</v>
      </c>
      <c r="L15" s="11" t="s">
        <v>36</v>
      </c>
      <c r="M15" s="11" t="s">
        <v>36</v>
      </c>
      <c r="N15" s="11" t="s">
        <v>39</v>
      </c>
      <c r="O15" s="11" t="s">
        <v>965</v>
      </c>
      <c r="P15" s="11" t="s">
        <v>966</v>
      </c>
      <c r="Q15" s="11" t="s">
        <v>136</v>
      </c>
      <c r="R15" s="11" t="s">
        <v>893</v>
      </c>
      <c r="S15" s="11" t="s">
        <v>1498</v>
      </c>
    </row>
    <row r="16" spans="2:22" ht="24.9" customHeight="1" x14ac:dyDescent="0.3">
      <c r="B16" s="23" t="s">
        <v>1377</v>
      </c>
      <c r="C16" s="17">
        <v>500</v>
      </c>
      <c r="D16" s="11" t="s">
        <v>967</v>
      </c>
      <c r="E16" s="11" t="s">
        <v>968</v>
      </c>
      <c r="F16" s="11" t="s">
        <v>36</v>
      </c>
      <c r="G16" s="11" t="s">
        <v>969</v>
      </c>
      <c r="H16" s="11" t="s">
        <v>970</v>
      </c>
      <c r="I16" s="11" t="s">
        <v>971</v>
      </c>
      <c r="J16" s="11" t="s">
        <v>972</v>
      </c>
      <c r="K16" s="11" t="s">
        <v>973</v>
      </c>
      <c r="L16" s="11" t="s">
        <v>36</v>
      </c>
      <c r="M16" s="11" t="s">
        <v>974</v>
      </c>
      <c r="N16" s="11" t="s">
        <v>975</v>
      </c>
      <c r="O16" s="11" t="s">
        <v>976</v>
      </c>
      <c r="P16" s="11" t="s">
        <v>977</v>
      </c>
      <c r="Q16" s="11" t="s">
        <v>978</v>
      </c>
      <c r="R16" s="11" t="s">
        <v>1007</v>
      </c>
      <c r="S16" s="11" t="s">
        <v>979</v>
      </c>
    </row>
    <row r="17" spans="2:19" ht="24.9" customHeight="1" x14ac:dyDescent="0.3">
      <c r="B17" s="23" t="s">
        <v>1378</v>
      </c>
      <c r="C17" s="17">
        <v>500</v>
      </c>
      <c r="D17" s="11" t="s">
        <v>980</v>
      </c>
      <c r="E17" s="11" t="s">
        <v>981</v>
      </c>
      <c r="F17" s="11" t="s">
        <v>36</v>
      </c>
      <c r="G17" s="11" t="s">
        <v>982</v>
      </c>
      <c r="H17" s="11" t="s">
        <v>983</v>
      </c>
      <c r="I17" s="11" t="s">
        <v>984</v>
      </c>
      <c r="J17" s="11" t="s">
        <v>985</v>
      </c>
      <c r="K17" s="11" t="s">
        <v>986</v>
      </c>
      <c r="L17" s="11" t="s">
        <v>36</v>
      </c>
      <c r="M17" s="11" t="s">
        <v>987</v>
      </c>
      <c r="N17" s="11" t="s">
        <v>988</v>
      </c>
      <c r="O17" s="11" t="s">
        <v>989</v>
      </c>
      <c r="P17" s="11" t="s">
        <v>990</v>
      </c>
      <c r="Q17" s="11" t="s">
        <v>991</v>
      </c>
      <c r="R17" s="11" t="s">
        <v>1007</v>
      </c>
      <c r="S17" s="11" t="s">
        <v>992</v>
      </c>
    </row>
    <row r="18" spans="2:19" ht="24.9" customHeight="1" x14ac:dyDescent="0.3">
      <c r="B18" s="23" t="s">
        <v>1379</v>
      </c>
      <c r="C18" s="17">
        <v>500</v>
      </c>
      <c r="D18" s="11" t="s">
        <v>993</v>
      </c>
      <c r="E18" s="11" t="s">
        <v>994</v>
      </c>
      <c r="F18" s="11" t="s">
        <v>995</v>
      </c>
      <c r="G18" s="11" t="s">
        <v>996</v>
      </c>
      <c r="H18" s="11" t="s">
        <v>1499</v>
      </c>
      <c r="I18" s="11" t="s">
        <v>1500</v>
      </c>
      <c r="J18" s="11" t="s">
        <v>1501</v>
      </c>
      <c r="K18" s="11" t="s">
        <v>997</v>
      </c>
      <c r="L18" s="11" t="s">
        <v>54</v>
      </c>
      <c r="M18" s="11" t="s">
        <v>998</v>
      </c>
      <c r="N18" s="11" t="s">
        <v>1502</v>
      </c>
      <c r="O18" s="11" t="s">
        <v>1503</v>
      </c>
      <c r="P18" s="11" t="s">
        <v>999</v>
      </c>
      <c r="Q18" s="11" t="s">
        <v>1504</v>
      </c>
      <c r="R18" s="11" t="s">
        <v>598</v>
      </c>
      <c r="S18" s="11" t="s">
        <v>1505</v>
      </c>
    </row>
    <row r="19" spans="2:19" ht="24.9" customHeight="1" x14ac:dyDescent="0.3">
      <c r="B19" s="67" t="s">
        <v>1380</v>
      </c>
      <c r="C19" s="47">
        <v>500</v>
      </c>
      <c r="D19" s="14" t="s">
        <v>1000</v>
      </c>
      <c r="E19" s="14" t="s">
        <v>1001</v>
      </c>
      <c r="F19" s="14" t="s">
        <v>1002</v>
      </c>
      <c r="G19" s="14" t="s">
        <v>1003</v>
      </c>
      <c r="H19" s="14" t="s">
        <v>1506</v>
      </c>
      <c r="I19" s="14" t="s">
        <v>1507</v>
      </c>
      <c r="J19" s="14" t="s">
        <v>1508</v>
      </c>
      <c r="K19" s="14" t="s">
        <v>1004</v>
      </c>
      <c r="L19" s="14" t="s">
        <v>36</v>
      </c>
      <c r="M19" s="14" t="s">
        <v>1005</v>
      </c>
      <c r="N19" s="14" t="s">
        <v>1509</v>
      </c>
      <c r="O19" s="14" t="s">
        <v>1510</v>
      </c>
      <c r="P19" s="14" t="s">
        <v>1006</v>
      </c>
      <c r="Q19" s="14" t="s">
        <v>1511</v>
      </c>
      <c r="R19" s="14" t="s">
        <v>945</v>
      </c>
      <c r="S19" s="14" t="s">
        <v>1512</v>
      </c>
    </row>
    <row r="20" spans="2:19" ht="24.9" customHeight="1" x14ac:dyDescent="0.3">
      <c r="B20" s="100" t="s">
        <v>1814</v>
      </c>
      <c r="C20" s="123"/>
    </row>
  </sheetData>
  <mergeCells count="1">
    <mergeCell ref="B2:S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A2909-8382-41F1-9CFF-8981E4475285}">
  <dimension ref="A1:AB183"/>
  <sheetViews>
    <sheetView zoomScale="70" zoomScaleNormal="70" workbookViewId="0">
      <pane ySplit="3" topLeftCell="A4" activePane="bottomLeft" state="frozen"/>
      <selection pane="bottomLeft" activeCell="A67" activeCellId="1" sqref="A105:XFD105 A67:XFD67"/>
    </sheetView>
  </sheetViews>
  <sheetFormatPr defaultColWidth="10.6640625" defaultRowHeight="25.2" customHeight="1" x14ac:dyDescent="0.3"/>
  <cols>
    <col min="1" max="1" width="6.33203125" style="10" customWidth="1"/>
    <col min="2" max="2" width="29.109375" style="10" customWidth="1"/>
    <col min="3" max="9" width="16.6640625" style="10" customWidth="1"/>
    <col min="10" max="10" width="18.88671875" style="10" customWidth="1"/>
    <col min="11" max="21" width="16.6640625" style="10" customWidth="1"/>
    <col min="22" max="22" width="18" style="10" customWidth="1"/>
    <col min="23" max="23" width="16.44140625" style="10" customWidth="1"/>
    <col min="24" max="16384" width="10.6640625" style="10"/>
  </cols>
  <sheetData>
    <row r="1" spans="1:28" ht="13.2" customHeight="1" x14ac:dyDescent="0.3"/>
    <row r="2" spans="1:28" ht="34.5" customHeight="1" thickBot="1" x14ac:dyDescent="0.35">
      <c r="B2" s="159" t="s">
        <v>1916</v>
      </c>
      <c r="C2" s="159"/>
      <c r="D2" s="159"/>
      <c r="E2" s="159"/>
      <c r="F2" s="159"/>
      <c r="G2" s="159"/>
      <c r="H2" s="159"/>
      <c r="I2" s="159"/>
      <c r="J2" s="159"/>
      <c r="K2" s="159"/>
      <c r="L2" s="159"/>
      <c r="M2" s="159"/>
      <c r="N2" s="159"/>
      <c r="O2" s="159"/>
      <c r="P2" s="159"/>
      <c r="Q2" s="159"/>
      <c r="R2" s="159"/>
      <c r="S2" s="159"/>
      <c r="T2" s="159"/>
      <c r="U2" s="159"/>
      <c r="V2" s="159"/>
      <c r="W2" s="8"/>
    </row>
    <row r="3" spans="1:28" ht="25.2" customHeight="1" x14ac:dyDescent="0.3">
      <c r="A3" s="11"/>
      <c r="B3" s="50" t="s">
        <v>0</v>
      </c>
      <c r="C3" s="21" t="s">
        <v>1</v>
      </c>
      <c r="D3" s="21" t="s">
        <v>556</v>
      </c>
      <c r="E3" s="21" t="s">
        <v>1806</v>
      </c>
      <c r="F3" s="21" t="s">
        <v>498</v>
      </c>
      <c r="G3" s="21" t="s">
        <v>1809</v>
      </c>
      <c r="H3" s="21" t="s">
        <v>502</v>
      </c>
      <c r="I3" s="21" t="s">
        <v>1810</v>
      </c>
      <c r="J3" s="21" t="s">
        <v>559</v>
      </c>
      <c r="K3" s="21" t="s">
        <v>1811</v>
      </c>
      <c r="L3" s="21" t="s">
        <v>503</v>
      </c>
      <c r="M3" s="21" t="s">
        <v>1812</v>
      </c>
      <c r="N3" s="21" t="s">
        <v>504</v>
      </c>
      <c r="O3" s="21" t="s">
        <v>1813</v>
      </c>
      <c r="P3" s="21" t="s">
        <v>505</v>
      </c>
      <c r="Q3" s="21" t="s">
        <v>1815</v>
      </c>
      <c r="R3" s="21" t="s">
        <v>499</v>
      </c>
      <c r="S3" s="21" t="s">
        <v>1816</v>
      </c>
      <c r="T3" s="21" t="s">
        <v>561</v>
      </c>
      <c r="U3" s="21" t="s">
        <v>1817</v>
      </c>
      <c r="V3" s="21" t="s">
        <v>7</v>
      </c>
      <c r="W3" s="21" t="s">
        <v>1818</v>
      </c>
    </row>
    <row r="4" spans="1:28" ht="25.2" customHeight="1" x14ac:dyDescent="0.3">
      <c r="B4" s="16" t="s">
        <v>1014</v>
      </c>
      <c r="C4" s="17">
        <v>100</v>
      </c>
      <c r="D4" s="62">
        <v>4.0371849501889079</v>
      </c>
      <c r="E4" s="62" t="s">
        <v>1908</v>
      </c>
      <c r="F4" s="62">
        <v>36.939169219257209</v>
      </c>
      <c r="G4" s="62" t="s">
        <v>1807</v>
      </c>
      <c r="H4" s="62">
        <v>10.425058264565067</v>
      </c>
      <c r="I4" s="62" t="s">
        <v>1908</v>
      </c>
      <c r="J4" s="62">
        <v>42.498928878917276</v>
      </c>
      <c r="K4" s="62" t="s">
        <v>1908</v>
      </c>
      <c r="L4" s="62">
        <v>2.172593880092192</v>
      </c>
      <c r="M4" s="62" t="s">
        <v>1808</v>
      </c>
      <c r="N4" s="62" t="s">
        <v>1907</v>
      </c>
      <c r="O4" s="62" t="s">
        <v>1808</v>
      </c>
      <c r="P4" s="62">
        <v>4.0926312194687524</v>
      </c>
      <c r="Q4" s="62" t="s">
        <v>1908</v>
      </c>
      <c r="R4" s="62">
        <v>0.3188454797481759</v>
      </c>
      <c r="S4" s="62" t="s">
        <v>1908</v>
      </c>
      <c r="T4" s="62" t="s">
        <v>1907</v>
      </c>
      <c r="U4" s="62" t="s">
        <v>1808</v>
      </c>
      <c r="V4" s="62">
        <v>6.6709394639995097</v>
      </c>
      <c r="W4" s="10" t="s">
        <v>1908</v>
      </c>
    </row>
    <row r="5" spans="1:28" ht="25.2" customHeight="1" x14ac:dyDescent="0.3">
      <c r="B5" s="16" t="s">
        <v>1014</v>
      </c>
      <c r="C5" s="18">
        <v>200</v>
      </c>
      <c r="D5" s="62">
        <v>25.791733887151349</v>
      </c>
      <c r="E5" s="62" t="s">
        <v>1807</v>
      </c>
      <c r="F5" s="62">
        <v>143.57422849058463</v>
      </c>
      <c r="G5" s="62" t="s">
        <v>1808</v>
      </c>
      <c r="H5" s="62">
        <v>8.5704270144606927</v>
      </c>
      <c r="I5" s="62" t="s">
        <v>1908</v>
      </c>
      <c r="J5" s="62">
        <v>131.81940566204722</v>
      </c>
      <c r="K5" s="62" t="s">
        <v>1807</v>
      </c>
      <c r="L5" s="62">
        <v>2.6824295735797716</v>
      </c>
      <c r="M5" s="62" t="s">
        <v>1808</v>
      </c>
      <c r="N5" s="62" t="s">
        <v>1907</v>
      </c>
      <c r="O5" s="62" t="s">
        <v>1808</v>
      </c>
      <c r="P5" s="62">
        <v>1.6536275943663614</v>
      </c>
      <c r="Q5" s="62" t="s">
        <v>1908</v>
      </c>
      <c r="R5" s="62">
        <v>0.67601855238885766</v>
      </c>
      <c r="S5" s="62" t="s">
        <v>1908</v>
      </c>
      <c r="T5" s="62" t="s">
        <v>1907</v>
      </c>
      <c r="U5" s="62" t="s">
        <v>1808</v>
      </c>
      <c r="V5" s="62">
        <v>2.8340511461999465</v>
      </c>
      <c r="W5" s="10" t="s">
        <v>1908</v>
      </c>
    </row>
    <row r="6" spans="1:28" ht="25.2" customHeight="1" x14ac:dyDescent="0.3">
      <c r="B6" s="16" t="s">
        <v>1014</v>
      </c>
      <c r="C6" s="18">
        <v>300</v>
      </c>
      <c r="D6" s="62">
        <v>195.2929608842343</v>
      </c>
      <c r="E6" s="62" t="s">
        <v>1808</v>
      </c>
      <c r="F6" s="62">
        <v>831.29045731890915</v>
      </c>
      <c r="G6" s="62" t="s">
        <v>1808</v>
      </c>
      <c r="H6" s="62">
        <v>5.3214774549862565</v>
      </c>
      <c r="I6" s="62" t="s">
        <v>1908</v>
      </c>
      <c r="J6" s="62">
        <v>267.04888951282987</v>
      </c>
      <c r="K6" s="62" t="s">
        <v>1807</v>
      </c>
      <c r="L6" s="62">
        <v>2.4100002638236413</v>
      </c>
      <c r="M6" s="62" t="s">
        <v>1808</v>
      </c>
      <c r="N6" s="62" t="s">
        <v>1907</v>
      </c>
      <c r="O6" s="62" t="s">
        <v>1808</v>
      </c>
      <c r="P6" s="62">
        <v>2.448675767758338</v>
      </c>
      <c r="Q6" s="62" t="s">
        <v>1908</v>
      </c>
      <c r="R6" s="62">
        <v>0.62602339555387876</v>
      </c>
      <c r="S6" s="62" t="s">
        <v>1908</v>
      </c>
      <c r="T6" s="62" t="s">
        <v>1907</v>
      </c>
      <c r="U6" s="62" t="s">
        <v>1808</v>
      </c>
      <c r="V6" s="62">
        <v>3.6156159071072302</v>
      </c>
      <c r="W6" s="10" t="s">
        <v>1908</v>
      </c>
    </row>
    <row r="7" spans="1:28" ht="25.2" customHeight="1" x14ac:dyDescent="0.3">
      <c r="B7" s="16" t="s">
        <v>1014</v>
      </c>
      <c r="C7" s="17">
        <v>400</v>
      </c>
      <c r="D7" s="62">
        <v>322.17067598436745</v>
      </c>
      <c r="E7" s="62" t="s">
        <v>1808</v>
      </c>
      <c r="F7" s="62">
        <v>1381.160537496994</v>
      </c>
      <c r="G7" s="62" t="s">
        <v>1808</v>
      </c>
      <c r="H7" s="62">
        <v>3.3749239398956008</v>
      </c>
      <c r="I7" s="62" t="s">
        <v>1908</v>
      </c>
      <c r="J7" s="62">
        <v>321.48387075355436</v>
      </c>
      <c r="K7" s="62" t="s">
        <v>1807</v>
      </c>
      <c r="L7" s="62">
        <v>2.8539194049911685</v>
      </c>
      <c r="M7" s="62" t="s">
        <v>1808</v>
      </c>
      <c r="N7" s="62" t="s">
        <v>1907</v>
      </c>
      <c r="O7" s="62" t="s">
        <v>1808</v>
      </c>
      <c r="P7" s="62">
        <v>1.8530890378513902</v>
      </c>
      <c r="Q7" s="62" t="s">
        <v>1908</v>
      </c>
      <c r="R7" s="62">
        <v>0.44628041148975034</v>
      </c>
      <c r="S7" s="62" t="s">
        <v>1908</v>
      </c>
      <c r="T7" s="62" t="s">
        <v>1907</v>
      </c>
      <c r="U7" s="62" t="s">
        <v>1808</v>
      </c>
      <c r="V7" s="62">
        <v>3.4721690714066882</v>
      </c>
      <c r="W7" s="10" t="s">
        <v>1908</v>
      </c>
    </row>
    <row r="8" spans="1:28" ht="25.2" customHeight="1" x14ac:dyDescent="0.3">
      <c r="B8" s="16" t="s">
        <v>1014</v>
      </c>
      <c r="C8" s="18">
        <v>500</v>
      </c>
      <c r="D8" s="62">
        <v>384.63997021656752</v>
      </c>
      <c r="E8" s="62" t="s">
        <v>1808</v>
      </c>
      <c r="F8" s="62">
        <v>1756.6513353131024</v>
      </c>
      <c r="G8" s="62" t="s">
        <v>1808</v>
      </c>
      <c r="H8" s="62">
        <v>9.3830093104605403</v>
      </c>
      <c r="I8" s="62" t="s">
        <v>1908</v>
      </c>
      <c r="J8" s="62">
        <v>571.38363632721871</v>
      </c>
      <c r="K8" s="62" t="s">
        <v>1808</v>
      </c>
      <c r="L8" s="62">
        <v>4.0518603381564082</v>
      </c>
      <c r="M8" s="62" t="s">
        <v>1808</v>
      </c>
      <c r="N8" s="62">
        <v>1.6903360394776305E-2</v>
      </c>
      <c r="O8" s="62" t="s">
        <v>1908</v>
      </c>
      <c r="P8" s="62">
        <v>2.5596868581457972</v>
      </c>
      <c r="Q8" s="62" t="s">
        <v>1908</v>
      </c>
      <c r="R8" s="62">
        <v>0.68877332133075231</v>
      </c>
      <c r="S8" s="62" t="s">
        <v>1908</v>
      </c>
      <c r="T8" s="62">
        <v>1.2129199267117063E-2</v>
      </c>
      <c r="U8" s="62" t="s">
        <v>1908</v>
      </c>
      <c r="V8" s="62">
        <v>4.7918396833967485</v>
      </c>
      <c r="W8" s="10" t="s">
        <v>1908</v>
      </c>
      <c r="Y8" s="142"/>
      <c r="Z8" s="142"/>
      <c r="AA8" s="142"/>
      <c r="AB8" s="142"/>
    </row>
    <row r="9" spans="1:28" ht="25.2" customHeight="1" x14ac:dyDescent="0.3">
      <c r="B9" s="16" t="s">
        <v>1014</v>
      </c>
      <c r="C9" s="17">
        <v>600</v>
      </c>
      <c r="D9" s="62">
        <v>71.667465846659695</v>
      </c>
      <c r="E9" s="62" t="s">
        <v>1807</v>
      </c>
      <c r="F9" s="62">
        <v>237.96693896297307</v>
      </c>
      <c r="G9" s="62" t="s">
        <v>1808</v>
      </c>
      <c r="H9" s="62">
        <v>2.5692165924696146</v>
      </c>
      <c r="I9" s="62" t="s">
        <v>1908</v>
      </c>
      <c r="J9" s="62">
        <v>296.03403425685207</v>
      </c>
      <c r="K9" s="62" t="s">
        <v>1807</v>
      </c>
      <c r="L9" s="62">
        <v>2.6547285756896186</v>
      </c>
      <c r="M9" s="62" t="s">
        <v>1808</v>
      </c>
      <c r="N9" s="62">
        <v>2.5942233681978771E-2</v>
      </c>
      <c r="O9" s="62" t="s">
        <v>1908</v>
      </c>
      <c r="P9" s="62">
        <v>77.091120120541632</v>
      </c>
      <c r="Q9" s="62" t="s">
        <v>1807</v>
      </c>
      <c r="R9" s="62">
        <v>0.60856248758516596</v>
      </c>
      <c r="S9" s="62" t="s">
        <v>1908</v>
      </c>
      <c r="T9" s="62">
        <v>0.10879145867039505</v>
      </c>
      <c r="U9" s="62" t="s">
        <v>1908</v>
      </c>
      <c r="V9" s="62">
        <v>1.5569517919151754</v>
      </c>
      <c r="W9" s="10" t="s">
        <v>1908</v>
      </c>
      <c r="Y9" s="142"/>
      <c r="Z9" s="142"/>
      <c r="AA9" s="142"/>
      <c r="AB9" s="142"/>
    </row>
    <row r="10" spans="1:28" ht="25.2" customHeight="1" x14ac:dyDescent="0.3">
      <c r="B10" s="16" t="s">
        <v>1014</v>
      </c>
      <c r="C10" s="18">
        <v>700</v>
      </c>
      <c r="D10" s="62">
        <v>201.71114436779283</v>
      </c>
      <c r="E10" s="62" t="s">
        <v>1808</v>
      </c>
      <c r="F10" s="62">
        <v>924.40400101994999</v>
      </c>
      <c r="G10" s="62" t="s">
        <v>1808</v>
      </c>
      <c r="H10" s="62">
        <v>2.6587053595601406</v>
      </c>
      <c r="I10" s="62" t="s">
        <v>1908</v>
      </c>
      <c r="J10" s="62">
        <v>577.85161871679043</v>
      </c>
      <c r="K10" s="62" t="s">
        <v>1808</v>
      </c>
      <c r="L10" s="62">
        <v>3.714441458519802</v>
      </c>
      <c r="M10" s="62" t="s">
        <v>1808</v>
      </c>
      <c r="N10" s="62">
        <v>5.4099384655426311E-2</v>
      </c>
      <c r="O10" s="62" t="s">
        <v>1908</v>
      </c>
      <c r="P10" s="62">
        <v>15.077936489270911</v>
      </c>
      <c r="Q10" s="62" t="s">
        <v>1908</v>
      </c>
      <c r="R10" s="62">
        <v>0.76882287669084326</v>
      </c>
      <c r="S10" s="62" t="s">
        <v>1908</v>
      </c>
      <c r="T10" s="62">
        <v>5.5588276452021003E-2</v>
      </c>
      <c r="U10" s="62" t="s">
        <v>1908</v>
      </c>
      <c r="V10" s="62">
        <v>3.5659503169757669</v>
      </c>
      <c r="W10" s="10" t="s">
        <v>1908</v>
      </c>
      <c r="Y10" s="142"/>
      <c r="Z10" s="142"/>
      <c r="AA10" s="142"/>
      <c r="AB10" s="142"/>
    </row>
    <row r="11" spans="1:28" ht="25.2" customHeight="1" x14ac:dyDescent="0.3">
      <c r="B11" s="16" t="s">
        <v>1014</v>
      </c>
      <c r="C11" s="17">
        <v>800</v>
      </c>
      <c r="D11" s="62">
        <v>528.78713652053</v>
      </c>
      <c r="E11" s="62" t="s">
        <v>1808</v>
      </c>
      <c r="F11" s="62">
        <v>2510.4027953149694</v>
      </c>
      <c r="G11" s="62" t="s">
        <v>1808</v>
      </c>
      <c r="H11" s="62">
        <v>1.1878303471231129</v>
      </c>
      <c r="I11" s="62" t="s">
        <v>1908</v>
      </c>
      <c r="J11" s="62">
        <v>863.30945941682114</v>
      </c>
      <c r="K11" s="62" t="s">
        <v>1808</v>
      </c>
      <c r="L11" s="62">
        <v>3.4487287929864294</v>
      </c>
      <c r="M11" s="62" t="s">
        <v>1808</v>
      </c>
      <c r="N11" s="62" t="s">
        <v>1907</v>
      </c>
      <c r="O11" s="62" t="s">
        <v>1808</v>
      </c>
      <c r="P11" s="62">
        <v>6.4101008227479861</v>
      </c>
      <c r="Q11" s="62" t="s">
        <v>1908</v>
      </c>
      <c r="R11" s="62">
        <v>0.9286173772202917</v>
      </c>
      <c r="S11" s="62" t="s">
        <v>1908</v>
      </c>
      <c r="T11" s="62">
        <v>6.2963909225010772E-2</v>
      </c>
      <c r="U11" s="62" t="s">
        <v>1908</v>
      </c>
      <c r="V11" s="62" t="s">
        <v>1907</v>
      </c>
      <c r="W11" s="10" t="s">
        <v>1808</v>
      </c>
    </row>
    <row r="12" spans="1:28" ht="25.2" customHeight="1" x14ac:dyDescent="0.3">
      <c r="B12" s="16" t="s">
        <v>1014</v>
      </c>
      <c r="C12" s="18">
        <v>900</v>
      </c>
      <c r="D12" s="62">
        <v>601.49543985177502</v>
      </c>
      <c r="E12" s="62" t="s">
        <v>1808</v>
      </c>
      <c r="F12" s="62">
        <v>2987.6143943064712</v>
      </c>
      <c r="G12" s="62" t="s">
        <v>1808</v>
      </c>
      <c r="H12" s="62">
        <v>4.9395288037168275</v>
      </c>
      <c r="I12" s="62" t="s">
        <v>1908</v>
      </c>
      <c r="J12" s="62">
        <v>939.69085717659539</v>
      </c>
      <c r="K12" s="62" t="s">
        <v>1808</v>
      </c>
      <c r="L12" s="62">
        <v>3.2104976067961406</v>
      </c>
      <c r="M12" s="62" t="s">
        <v>1808</v>
      </c>
      <c r="N12" s="62">
        <v>0.13027271732198428</v>
      </c>
      <c r="O12" s="62" t="s">
        <v>1908</v>
      </c>
      <c r="P12" s="62" t="s">
        <v>1907</v>
      </c>
      <c r="Q12" s="62" t="s">
        <v>1808</v>
      </c>
      <c r="R12" s="62">
        <v>0.97595018752492824</v>
      </c>
      <c r="S12" s="62" t="s">
        <v>1908</v>
      </c>
      <c r="T12" s="62">
        <v>0.15007900073734515</v>
      </c>
      <c r="U12" s="62" t="s">
        <v>1908</v>
      </c>
      <c r="V12" s="62" t="s">
        <v>1907</v>
      </c>
      <c r="W12" s="10" t="s">
        <v>1808</v>
      </c>
    </row>
    <row r="13" spans="1:28" ht="25.2" customHeight="1" x14ac:dyDescent="0.3">
      <c r="B13" s="16" t="s">
        <v>1014</v>
      </c>
      <c r="C13" s="17">
        <v>1000</v>
      </c>
      <c r="D13" s="62">
        <v>1104.4747444135926</v>
      </c>
      <c r="E13" s="62" t="s">
        <v>1808</v>
      </c>
      <c r="F13" s="62">
        <v>6446.0002407103111</v>
      </c>
      <c r="G13" s="62" t="s">
        <v>1808</v>
      </c>
      <c r="H13" s="62">
        <v>35.6326666307504</v>
      </c>
      <c r="I13" s="62" t="s">
        <v>1807</v>
      </c>
      <c r="J13" s="62">
        <v>1748.5646476954792</v>
      </c>
      <c r="K13" s="62" t="s">
        <v>1808</v>
      </c>
      <c r="L13" s="62">
        <v>3.79990523046565</v>
      </c>
      <c r="M13" s="62" t="s">
        <v>1808</v>
      </c>
      <c r="N13" s="62">
        <v>5.1982407080291448E-2</v>
      </c>
      <c r="O13" s="62" t="s">
        <v>1908</v>
      </c>
      <c r="P13" s="62" t="s">
        <v>1907</v>
      </c>
      <c r="Q13" s="62" t="s">
        <v>1808</v>
      </c>
      <c r="R13" s="62">
        <v>1.4579018563207027</v>
      </c>
      <c r="S13" s="62" t="s">
        <v>1807</v>
      </c>
      <c r="T13" s="62">
        <v>7.4796993670300099E-2</v>
      </c>
      <c r="U13" s="62" t="s">
        <v>1908</v>
      </c>
      <c r="V13" s="62">
        <v>21.126305738822655</v>
      </c>
      <c r="W13" s="10" t="s">
        <v>1807</v>
      </c>
    </row>
    <row r="14" spans="1:28" ht="25.2" customHeight="1" x14ac:dyDescent="0.3">
      <c r="B14" s="16" t="s">
        <v>1014</v>
      </c>
      <c r="C14" s="18">
        <v>1100</v>
      </c>
      <c r="D14" s="62">
        <v>731.90307018049396</v>
      </c>
      <c r="E14" s="62" t="s">
        <v>1808</v>
      </c>
      <c r="F14" s="62">
        <v>3964.8744403478408</v>
      </c>
      <c r="G14" s="62" t="s">
        <v>1808</v>
      </c>
      <c r="H14" s="62" t="s">
        <v>1907</v>
      </c>
      <c r="I14" s="62" t="s">
        <v>1808</v>
      </c>
      <c r="J14" s="62">
        <v>1226.8227705211684</v>
      </c>
      <c r="K14" s="62" t="s">
        <v>1808</v>
      </c>
      <c r="L14" s="62">
        <v>3.1702170822051694</v>
      </c>
      <c r="M14" s="62" t="s">
        <v>1808</v>
      </c>
      <c r="N14" s="62">
        <v>1.2868608529513817E-2</v>
      </c>
      <c r="O14" s="62" t="s">
        <v>1908</v>
      </c>
      <c r="P14" s="62">
        <v>2.9325070249026606</v>
      </c>
      <c r="Q14" s="62" t="s">
        <v>1908</v>
      </c>
      <c r="R14" s="62" t="s">
        <v>1907</v>
      </c>
      <c r="S14" s="62" t="s">
        <v>1808</v>
      </c>
      <c r="T14" s="62">
        <v>8.8934892442038824E-2</v>
      </c>
      <c r="U14" s="62" t="s">
        <v>1908</v>
      </c>
      <c r="V14" s="62" t="s">
        <v>1907</v>
      </c>
      <c r="W14" s="10" t="s">
        <v>1808</v>
      </c>
    </row>
    <row r="15" spans="1:28" ht="25.2" customHeight="1" x14ac:dyDescent="0.3">
      <c r="B15" s="16" t="s">
        <v>1014</v>
      </c>
      <c r="C15" s="17">
        <v>1200</v>
      </c>
      <c r="D15" s="62">
        <v>1470.0168362461313</v>
      </c>
      <c r="E15" s="62" t="s">
        <v>1808</v>
      </c>
      <c r="F15" s="62">
        <v>8101.9687148196545</v>
      </c>
      <c r="G15" s="62" t="s">
        <v>1808</v>
      </c>
      <c r="H15" s="62" t="s">
        <v>1907</v>
      </c>
      <c r="I15" s="62" t="s">
        <v>1808</v>
      </c>
      <c r="J15" s="62">
        <v>2133.0647045599349</v>
      </c>
      <c r="K15" s="62" t="s">
        <v>1808</v>
      </c>
      <c r="L15" s="62">
        <v>3.6019384301584951</v>
      </c>
      <c r="M15" s="62" t="s">
        <v>1808</v>
      </c>
      <c r="N15" s="62">
        <v>4.7917439837417981E-2</v>
      </c>
      <c r="O15" s="62" t="s">
        <v>1908</v>
      </c>
      <c r="P15" s="62" t="s">
        <v>1907</v>
      </c>
      <c r="Q15" s="62" t="s">
        <v>1808</v>
      </c>
      <c r="R15" s="62" t="s">
        <v>1907</v>
      </c>
      <c r="S15" s="62" t="s">
        <v>1808</v>
      </c>
      <c r="T15" s="62">
        <v>5.7080186536267639E-2</v>
      </c>
      <c r="U15" s="62" t="s">
        <v>1908</v>
      </c>
      <c r="V15" s="62" t="s">
        <v>1907</v>
      </c>
      <c r="W15" s="10" t="s">
        <v>1808</v>
      </c>
    </row>
    <row r="16" spans="1:28" ht="25.2" customHeight="1" x14ac:dyDescent="0.3">
      <c r="B16" s="16" t="s">
        <v>1014</v>
      </c>
      <c r="C16" s="18">
        <v>1300</v>
      </c>
      <c r="D16" s="62">
        <v>1705.6953509555217</v>
      </c>
      <c r="E16" s="62" t="s">
        <v>1808</v>
      </c>
      <c r="F16" s="62">
        <v>10511.419339161983</v>
      </c>
      <c r="G16" s="62" t="s">
        <v>1808</v>
      </c>
      <c r="H16" s="62" t="s">
        <v>1907</v>
      </c>
      <c r="I16" s="62" t="s">
        <v>1808</v>
      </c>
      <c r="J16" s="62">
        <v>2620.1767625608741</v>
      </c>
      <c r="K16" s="62" t="s">
        <v>1808</v>
      </c>
      <c r="L16" s="62">
        <v>4.0139372893365515</v>
      </c>
      <c r="M16" s="62" t="s">
        <v>1808</v>
      </c>
      <c r="N16" s="62">
        <v>2.6026389462995569E-2</v>
      </c>
      <c r="O16" s="62" t="s">
        <v>1908</v>
      </c>
      <c r="P16" s="62" t="s">
        <v>1907</v>
      </c>
      <c r="Q16" s="62" t="s">
        <v>1808</v>
      </c>
      <c r="R16" s="62">
        <v>0.57889858994606569</v>
      </c>
      <c r="S16" s="62" t="s">
        <v>1908</v>
      </c>
      <c r="T16" s="62">
        <v>0.13906535046653729</v>
      </c>
      <c r="U16" s="62" t="s">
        <v>1908</v>
      </c>
      <c r="V16" s="62" t="s">
        <v>1907</v>
      </c>
      <c r="W16" s="10" t="s">
        <v>1808</v>
      </c>
    </row>
    <row r="17" spans="2:23" ht="25.2" customHeight="1" x14ac:dyDescent="0.3">
      <c r="B17" s="16" t="s">
        <v>1014</v>
      </c>
      <c r="C17" s="17">
        <v>1400</v>
      </c>
      <c r="D17" s="62">
        <v>1851.2316580216902</v>
      </c>
      <c r="E17" s="62" t="s">
        <v>1808</v>
      </c>
      <c r="F17" s="62">
        <v>11449.318984654619</v>
      </c>
      <c r="G17" s="62" t="s">
        <v>1808</v>
      </c>
      <c r="H17" s="62" t="s">
        <v>1907</v>
      </c>
      <c r="I17" s="62" t="s">
        <v>1808</v>
      </c>
      <c r="J17" s="62">
        <v>3103.9213323940739</v>
      </c>
      <c r="K17" s="62" t="s">
        <v>1808</v>
      </c>
      <c r="L17" s="62">
        <v>4.1628859156226019</v>
      </c>
      <c r="M17" s="62" t="s">
        <v>1808</v>
      </c>
      <c r="N17" s="62">
        <v>2.9802570236793691</v>
      </c>
      <c r="O17" s="62" t="s">
        <v>1808</v>
      </c>
      <c r="P17" s="62">
        <v>10.876495019643961</v>
      </c>
      <c r="Q17" s="62" t="s">
        <v>1908</v>
      </c>
      <c r="R17" s="62">
        <v>0.75883148360100938</v>
      </c>
      <c r="S17" s="62" t="s">
        <v>1908</v>
      </c>
      <c r="T17" s="62">
        <v>9.3547109052084396E-2</v>
      </c>
      <c r="U17" s="62" t="s">
        <v>1908</v>
      </c>
      <c r="V17" s="62" t="s">
        <v>1907</v>
      </c>
      <c r="W17" s="10" t="s">
        <v>1808</v>
      </c>
    </row>
    <row r="18" spans="2:23" ht="25.2" customHeight="1" x14ac:dyDescent="0.3">
      <c r="B18" s="16" t="s">
        <v>1014</v>
      </c>
      <c r="C18" s="18">
        <v>1500</v>
      </c>
      <c r="D18" s="62">
        <v>1956.0419983979232</v>
      </c>
      <c r="E18" s="62" t="s">
        <v>1808</v>
      </c>
      <c r="F18" s="62">
        <v>19002.192496761938</v>
      </c>
      <c r="G18" s="62" t="s">
        <v>1808</v>
      </c>
      <c r="H18" s="62">
        <v>69.332619619700594</v>
      </c>
      <c r="I18" s="62" t="s">
        <v>1807</v>
      </c>
      <c r="J18" s="62">
        <v>9160.9483392303464</v>
      </c>
      <c r="K18" s="62" t="s">
        <v>1808</v>
      </c>
      <c r="L18" s="62">
        <v>4.2241067686051608</v>
      </c>
      <c r="M18" s="62" t="s">
        <v>1808</v>
      </c>
      <c r="N18" s="62">
        <v>0.47592453275901642</v>
      </c>
      <c r="O18" s="62" t="s">
        <v>1807</v>
      </c>
      <c r="P18" s="62">
        <v>146.67834465078587</v>
      </c>
      <c r="Q18" s="62" t="s">
        <v>1807</v>
      </c>
      <c r="R18" s="62">
        <v>1.5392129076417491</v>
      </c>
      <c r="S18" s="62" t="s">
        <v>1807</v>
      </c>
      <c r="T18" s="62">
        <v>0.75838188528381012</v>
      </c>
      <c r="U18" s="62" t="s">
        <v>1807</v>
      </c>
      <c r="V18" s="62">
        <v>43.424086738689063</v>
      </c>
      <c r="W18" s="10" t="s">
        <v>1807</v>
      </c>
    </row>
    <row r="19" spans="2:23" ht="25.2" customHeight="1" x14ac:dyDescent="0.3">
      <c r="B19" s="16" t="s">
        <v>1015</v>
      </c>
      <c r="C19" s="17">
        <v>100</v>
      </c>
      <c r="D19" s="62">
        <v>7.4152017107211989</v>
      </c>
      <c r="E19" s="62" t="s">
        <v>1908</v>
      </c>
      <c r="F19" s="62">
        <v>187.84002879681765</v>
      </c>
      <c r="G19" s="62" t="s">
        <v>1808</v>
      </c>
      <c r="H19" s="62">
        <v>27.649922791697936</v>
      </c>
      <c r="I19" s="62" t="s">
        <v>1807</v>
      </c>
      <c r="J19" s="62">
        <v>210.61549750335621</v>
      </c>
      <c r="K19" s="62" t="s">
        <v>1807</v>
      </c>
      <c r="L19" s="62">
        <v>1.9866994457059546</v>
      </c>
      <c r="M19" s="62" t="s">
        <v>1808</v>
      </c>
      <c r="N19" s="62" t="s">
        <v>1907</v>
      </c>
      <c r="O19" s="62" t="s">
        <v>1808</v>
      </c>
      <c r="P19" s="62" t="s">
        <v>1907</v>
      </c>
      <c r="Q19" s="62" t="s">
        <v>1808</v>
      </c>
      <c r="R19" s="62">
        <v>0.32204697759238693</v>
      </c>
      <c r="S19" s="62" t="s">
        <v>1908</v>
      </c>
      <c r="T19" s="62" t="s">
        <v>1907</v>
      </c>
      <c r="U19" s="62" t="s">
        <v>1808</v>
      </c>
      <c r="V19" s="62">
        <v>16.146099724716056</v>
      </c>
      <c r="W19" s="10" t="s">
        <v>1908</v>
      </c>
    </row>
    <row r="20" spans="2:23" ht="25.2" customHeight="1" x14ac:dyDescent="0.3">
      <c r="B20" s="16" t="s">
        <v>1015</v>
      </c>
      <c r="C20" s="18">
        <v>200</v>
      </c>
      <c r="D20" s="62">
        <v>101.82899683685029</v>
      </c>
      <c r="E20" s="62" t="s">
        <v>1808</v>
      </c>
      <c r="F20" s="62">
        <v>546.34168346997399</v>
      </c>
      <c r="G20" s="62" t="s">
        <v>1808</v>
      </c>
      <c r="H20" s="62" t="s">
        <v>1907</v>
      </c>
      <c r="I20" s="62" t="s">
        <v>1808</v>
      </c>
      <c r="J20" s="62">
        <v>387.82147903847164</v>
      </c>
      <c r="K20" s="62" t="s">
        <v>1808</v>
      </c>
      <c r="L20" s="62">
        <v>2.3389937972553856</v>
      </c>
      <c r="M20" s="62" t="s">
        <v>1808</v>
      </c>
      <c r="N20" s="62">
        <v>0.1247903456647478</v>
      </c>
      <c r="O20" s="62" t="s">
        <v>1908</v>
      </c>
      <c r="P20" s="62" t="s">
        <v>1907</v>
      </c>
      <c r="Q20" s="62" t="s">
        <v>1808</v>
      </c>
      <c r="R20" s="62">
        <v>0.75874550324868717</v>
      </c>
      <c r="S20" s="62" t="s">
        <v>1908</v>
      </c>
      <c r="T20" s="62" t="s">
        <v>1907</v>
      </c>
      <c r="U20" s="62" t="s">
        <v>1808</v>
      </c>
      <c r="V20" s="62">
        <v>1.3420980985178974</v>
      </c>
      <c r="W20" s="10" t="s">
        <v>1908</v>
      </c>
    </row>
    <row r="21" spans="2:23" ht="25.2" customHeight="1" x14ac:dyDescent="0.3">
      <c r="B21" s="16" t="s">
        <v>1015</v>
      </c>
      <c r="C21" s="18">
        <v>300</v>
      </c>
      <c r="D21" s="62">
        <v>125.79529541935798</v>
      </c>
      <c r="E21" s="62" t="s">
        <v>1808</v>
      </c>
      <c r="F21" s="62">
        <v>964.03282986391616</v>
      </c>
      <c r="G21" s="62" t="s">
        <v>1808</v>
      </c>
      <c r="H21" s="62">
        <v>11.567863584101021</v>
      </c>
      <c r="I21" s="62" t="s">
        <v>1908</v>
      </c>
      <c r="J21" s="62">
        <v>450.08385335662791</v>
      </c>
      <c r="K21" s="62" t="s">
        <v>1808</v>
      </c>
      <c r="L21" s="62">
        <v>2.3734105550056741</v>
      </c>
      <c r="M21" s="62" t="s">
        <v>1808</v>
      </c>
      <c r="N21" s="62">
        <v>0.11003689206678241</v>
      </c>
      <c r="O21" s="62" t="s">
        <v>1908</v>
      </c>
      <c r="P21" s="62" t="s">
        <v>1907</v>
      </c>
      <c r="Q21" s="62" t="s">
        <v>1808</v>
      </c>
      <c r="R21" s="62">
        <v>0.74361678112040419</v>
      </c>
      <c r="S21" s="62" t="s">
        <v>1908</v>
      </c>
      <c r="T21" s="62" t="s">
        <v>1907</v>
      </c>
      <c r="U21" s="62" t="s">
        <v>1808</v>
      </c>
      <c r="V21" s="62">
        <v>6.2730953416112767</v>
      </c>
      <c r="W21" s="10" t="s">
        <v>1908</v>
      </c>
    </row>
    <row r="22" spans="2:23" ht="25.2" customHeight="1" x14ac:dyDescent="0.3">
      <c r="B22" s="16" t="s">
        <v>1015</v>
      </c>
      <c r="C22" s="17">
        <v>400</v>
      </c>
      <c r="D22" s="62">
        <v>173.54913339981897</v>
      </c>
      <c r="E22" s="62" t="s">
        <v>1808</v>
      </c>
      <c r="F22" s="62">
        <v>1256.7572224624739</v>
      </c>
      <c r="G22" s="62" t="s">
        <v>1808</v>
      </c>
      <c r="H22" s="62">
        <v>4.3783904132109761</v>
      </c>
      <c r="I22" s="62" t="s">
        <v>1908</v>
      </c>
      <c r="J22" s="62">
        <v>696.42367561377409</v>
      </c>
      <c r="K22" s="62" t="s">
        <v>1808</v>
      </c>
      <c r="L22" s="62">
        <v>2.7778510151634324</v>
      </c>
      <c r="M22" s="62" t="s">
        <v>1808</v>
      </c>
      <c r="N22" s="62">
        <v>4.0041934250494822E-3</v>
      </c>
      <c r="O22" s="62" t="s">
        <v>1908</v>
      </c>
      <c r="P22" s="62" t="s">
        <v>1907</v>
      </c>
      <c r="Q22" s="62" t="s">
        <v>1808</v>
      </c>
      <c r="R22" s="62">
        <v>0.80634164754898829</v>
      </c>
      <c r="S22" s="62" t="s">
        <v>1908</v>
      </c>
      <c r="T22" s="62">
        <v>1.8801401719722499E-2</v>
      </c>
      <c r="U22" s="62" t="s">
        <v>1908</v>
      </c>
      <c r="V22" s="62">
        <v>1.2897015390982922</v>
      </c>
      <c r="W22" s="10" t="s">
        <v>1908</v>
      </c>
    </row>
    <row r="23" spans="2:23" ht="25.2" customHeight="1" x14ac:dyDescent="0.3">
      <c r="B23" s="16" t="s">
        <v>1015</v>
      </c>
      <c r="C23" s="18">
        <v>500</v>
      </c>
      <c r="D23" s="62">
        <v>225.1415786556247</v>
      </c>
      <c r="E23" s="62" t="s">
        <v>1808</v>
      </c>
      <c r="F23" s="62">
        <v>1485.0105866066388</v>
      </c>
      <c r="G23" s="62" t="s">
        <v>1808</v>
      </c>
      <c r="H23" s="62">
        <v>33.827360145840515</v>
      </c>
      <c r="I23" s="62" t="s">
        <v>1807</v>
      </c>
      <c r="J23" s="62">
        <v>1049.5596014058663</v>
      </c>
      <c r="K23" s="62" t="s">
        <v>1808</v>
      </c>
      <c r="L23" s="62">
        <v>2.7577683445992847</v>
      </c>
      <c r="M23" s="62" t="s">
        <v>1808</v>
      </c>
      <c r="N23" s="62">
        <v>4.7833364763070124E-2</v>
      </c>
      <c r="O23" s="62" t="s">
        <v>1908</v>
      </c>
      <c r="P23" s="62" t="s">
        <v>1907</v>
      </c>
      <c r="Q23" s="62" t="s">
        <v>1808</v>
      </c>
      <c r="R23" s="62">
        <v>1.1280976417876059</v>
      </c>
      <c r="S23" s="62" t="s">
        <v>1908</v>
      </c>
      <c r="T23" s="62">
        <v>3.0274556204420509E-2</v>
      </c>
      <c r="U23" s="62" t="s">
        <v>1908</v>
      </c>
      <c r="V23" s="62">
        <v>11.55277717383996</v>
      </c>
      <c r="W23" s="10" t="s">
        <v>1908</v>
      </c>
    </row>
    <row r="24" spans="2:23" ht="25.2" customHeight="1" x14ac:dyDescent="0.3">
      <c r="B24" s="16" t="s">
        <v>1016</v>
      </c>
      <c r="C24" s="17">
        <v>100</v>
      </c>
      <c r="D24" s="62">
        <v>11.525517259055203</v>
      </c>
      <c r="E24" s="62" t="s">
        <v>1908</v>
      </c>
      <c r="F24" s="62">
        <v>355.7383494975129</v>
      </c>
      <c r="G24" s="62" t="s">
        <v>1808</v>
      </c>
      <c r="H24" s="62">
        <v>7.2031435395453443</v>
      </c>
      <c r="I24" s="62" t="s">
        <v>1908</v>
      </c>
      <c r="J24" s="62">
        <v>273.66638286664869</v>
      </c>
      <c r="K24" s="62" t="s">
        <v>1807</v>
      </c>
      <c r="L24" s="62">
        <v>2.262494866735846</v>
      </c>
      <c r="M24" s="62" t="s">
        <v>1808</v>
      </c>
      <c r="N24" s="62">
        <v>5.3292022970269144E-2</v>
      </c>
      <c r="O24" s="62" t="s">
        <v>1908</v>
      </c>
      <c r="P24" s="62">
        <v>25.795865799750544</v>
      </c>
      <c r="Q24" s="62" t="s">
        <v>1908</v>
      </c>
      <c r="R24" s="62">
        <v>0.58279049028040453</v>
      </c>
      <c r="S24" s="62" t="s">
        <v>1908</v>
      </c>
      <c r="T24" s="62">
        <v>6.6826564816451647E-2</v>
      </c>
      <c r="U24" s="62" t="s">
        <v>1908</v>
      </c>
      <c r="V24" s="62">
        <v>5.4614103975040402</v>
      </c>
      <c r="W24" s="10" t="s">
        <v>1908</v>
      </c>
    </row>
    <row r="25" spans="2:23" ht="25.2" customHeight="1" x14ac:dyDescent="0.3">
      <c r="B25" s="16" t="s">
        <v>1016</v>
      </c>
      <c r="C25" s="18">
        <v>200</v>
      </c>
      <c r="D25" s="62">
        <v>21.841010309944561</v>
      </c>
      <c r="E25" s="62" t="s">
        <v>1908</v>
      </c>
      <c r="F25" s="62">
        <v>349.67456646400234</v>
      </c>
      <c r="G25" s="62" t="s">
        <v>1808</v>
      </c>
      <c r="H25" s="62">
        <v>3.2584124391568352</v>
      </c>
      <c r="I25" s="62" t="s">
        <v>1908</v>
      </c>
      <c r="J25" s="62">
        <v>483.79864081848888</v>
      </c>
      <c r="K25" s="62" t="s">
        <v>1808</v>
      </c>
      <c r="L25" s="62">
        <v>2.2056895038202389</v>
      </c>
      <c r="M25" s="62" t="s">
        <v>1808</v>
      </c>
      <c r="N25" s="62">
        <v>0.48189219797865124</v>
      </c>
      <c r="O25" s="62" t="s">
        <v>1807</v>
      </c>
      <c r="P25" s="62">
        <v>14.279429812634586</v>
      </c>
      <c r="Q25" s="62" t="s">
        <v>1908</v>
      </c>
      <c r="R25" s="62">
        <v>0.7209945556639018</v>
      </c>
      <c r="S25" s="62" t="s">
        <v>1908</v>
      </c>
      <c r="T25" s="62">
        <v>4.4027803712717077E-2</v>
      </c>
      <c r="U25" s="62" t="s">
        <v>1908</v>
      </c>
      <c r="V25" s="62">
        <v>2.0781264771223733</v>
      </c>
      <c r="W25" s="10" t="s">
        <v>1908</v>
      </c>
    </row>
    <row r="26" spans="2:23" ht="25.2" customHeight="1" x14ac:dyDescent="0.3">
      <c r="B26" s="16" t="s">
        <v>1016</v>
      </c>
      <c r="C26" s="18">
        <v>300</v>
      </c>
      <c r="D26" s="62">
        <v>30.485384244979091</v>
      </c>
      <c r="E26" s="62" t="s">
        <v>1807</v>
      </c>
      <c r="F26" s="62">
        <v>253.75512392302144</v>
      </c>
      <c r="G26" s="62" t="s">
        <v>1808</v>
      </c>
      <c r="H26" s="62">
        <v>5.9195346220737104</v>
      </c>
      <c r="I26" s="62" t="s">
        <v>1908</v>
      </c>
      <c r="J26" s="62">
        <v>1024.122921611902</v>
      </c>
      <c r="K26" s="62" t="s">
        <v>1808</v>
      </c>
      <c r="L26" s="62">
        <v>2.148380853558344</v>
      </c>
      <c r="M26" s="62" t="s">
        <v>1808</v>
      </c>
      <c r="N26" s="62">
        <v>3.3157525454276526E-2</v>
      </c>
      <c r="O26" s="62" t="s">
        <v>1908</v>
      </c>
      <c r="P26" s="62">
        <v>32.157426532633089</v>
      </c>
      <c r="Q26" s="62" t="s">
        <v>1908</v>
      </c>
      <c r="R26" s="62">
        <v>0.85634159272154753</v>
      </c>
      <c r="S26" s="62" t="s">
        <v>1908</v>
      </c>
      <c r="T26" s="62">
        <v>5.6698019439396549E-2</v>
      </c>
      <c r="U26" s="62" t="s">
        <v>1908</v>
      </c>
      <c r="V26" s="62">
        <v>4.4746387265225929</v>
      </c>
      <c r="W26" s="10" t="s">
        <v>1908</v>
      </c>
    </row>
    <row r="27" spans="2:23" ht="25.2" customHeight="1" x14ac:dyDescent="0.3">
      <c r="B27" s="16" t="s">
        <v>1016</v>
      </c>
      <c r="C27" s="17">
        <v>400</v>
      </c>
      <c r="D27" s="62">
        <v>57.854034637645086</v>
      </c>
      <c r="E27" s="62" t="s">
        <v>1807</v>
      </c>
      <c r="F27" s="62">
        <v>386.07851689328731</v>
      </c>
      <c r="G27" s="62" t="s">
        <v>1808</v>
      </c>
      <c r="H27" s="62">
        <v>13.109258164929601</v>
      </c>
      <c r="I27" s="62" t="s">
        <v>1908</v>
      </c>
      <c r="J27" s="62">
        <v>644.97384434485207</v>
      </c>
      <c r="K27" s="62" t="s">
        <v>1808</v>
      </c>
      <c r="L27" s="62">
        <v>2.7823211848833078</v>
      </c>
      <c r="M27" s="62" t="s">
        <v>1808</v>
      </c>
      <c r="N27" s="62" t="s">
        <v>1907</v>
      </c>
      <c r="O27" s="62" t="s">
        <v>1808</v>
      </c>
      <c r="P27" s="62">
        <v>9.877940200480305</v>
      </c>
      <c r="Q27" s="62" t="s">
        <v>1908</v>
      </c>
      <c r="R27" s="62">
        <v>0.82152616475910656</v>
      </c>
      <c r="S27" s="62" t="s">
        <v>1908</v>
      </c>
      <c r="T27" s="62">
        <v>9.15631281553759E-2</v>
      </c>
      <c r="U27" s="62" t="s">
        <v>1908</v>
      </c>
      <c r="V27" s="62">
        <v>6.9536481969141626</v>
      </c>
      <c r="W27" s="10" t="s">
        <v>1908</v>
      </c>
    </row>
    <row r="28" spans="2:23" ht="25.2" customHeight="1" x14ac:dyDescent="0.3">
      <c r="B28" s="16" t="s">
        <v>1016</v>
      </c>
      <c r="C28" s="18">
        <v>500</v>
      </c>
      <c r="D28" s="62">
        <v>98.164067785301356</v>
      </c>
      <c r="E28" s="62" t="s">
        <v>1808</v>
      </c>
      <c r="F28" s="62">
        <v>548.21500980733026</v>
      </c>
      <c r="G28" s="62" t="s">
        <v>1808</v>
      </c>
      <c r="H28" s="62">
        <v>2.3352983365049598</v>
      </c>
      <c r="I28" s="62" t="s">
        <v>1908</v>
      </c>
      <c r="J28" s="62">
        <v>682.46275672740535</v>
      </c>
      <c r="K28" s="62" t="s">
        <v>1808</v>
      </c>
      <c r="L28" s="62">
        <v>2.2452666415934637</v>
      </c>
      <c r="M28" s="62" t="s">
        <v>1808</v>
      </c>
      <c r="N28" s="62">
        <v>1.2537908493260759E-2</v>
      </c>
      <c r="O28" s="62" t="s">
        <v>1908</v>
      </c>
      <c r="P28" s="62">
        <v>2.3344995947580518</v>
      </c>
      <c r="Q28" s="62" t="s">
        <v>1908</v>
      </c>
      <c r="R28" s="62">
        <v>0.844454225707718</v>
      </c>
      <c r="S28" s="62" t="s">
        <v>1908</v>
      </c>
      <c r="T28" s="62">
        <v>5.9201620736998223E-2</v>
      </c>
      <c r="U28" s="62" t="s">
        <v>1908</v>
      </c>
      <c r="V28" s="62">
        <v>9.4025941039828691</v>
      </c>
      <c r="W28" s="10" t="s">
        <v>1908</v>
      </c>
    </row>
    <row r="29" spans="2:23" ht="25.2" customHeight="1" x14ac:dyDescent="0.3">
      <c r="B29" s="16" t="s">
        <v>1017</v>
      </c>
      <c r="C29" s="17">
        <v>100</v>
      </c>
      <c r="D29" s="62">
        <v>156.95322692254948</v>
      </c>
      <c r="E29" s="62" t="s">
        <v>1808</v>
      </c>
      <c r="F29" s="62">
        <v>124.25858547446231</v>
      </c>
      <c r="G29" s="62" t="s">
        <v>1808</v>
      </c>
      <c r="H29" s="62">
        <v>25.339230131585317</v>
      </c>
      <c r="I29" s="62" t="s">
        <v>1908</v>
      </c>
      <c r="J29" s="62">
        <v>40.4321213382593</v>
      </c>
      <c r="K29" s="62" t="s">
        <v>1908</v>
      </c>
      <c r="L29" s="62">
        <v>4.8542458662446988</v>
      </c>
      <c r="M29" s="62" t="s">
        <v>1808</v>
      </c>
      <c r="N29" s="62" t="s">
        <v>1907</v>
      </c>
      <c r="O29" s="62" t="s">
        <v>1808</v>
      </c>
      <c r="P29" s="62">
        <v>7.3712693081113381</v>
      </c>
      <c r="Q29" s="62" t="s">
        <v>1908</v>
      </c>
      <c r="R29" s="62">
        <v>1.6742021356614452</v>
      </c>
      <c r="S29" s="62" t="s">
        <v>1807</v>
      </c>
      <c r="T29" s="62">
        <v>1.9316183767313056E-3</v>
      </c>
      <c r="U29" s="62" t="s">
        <v>1908</v>
      </c>
      <c r="V29" s="62">
        <v>19.103358983740421</v>
      </c>
      <c r="W29" s="10" t="s">
        <v>1807</v>
      </c>
    </row>
    <row r="30" spans="2:23" ht="25.2" customHeight="1" x14ac:dyDescent="0.3">
      <c r="B30" s="16" t="s">
        <v>1017</v>
      </c>
      <c r="C30" s="18">
        <v>200</v>
      </c>
      <c r="D30" s="62">
        <v>344.05742541491861</v>
      </c>
      <c r="E30" s="62" t="s">
        <v>1808</v>
      </c>
      <c r="F30" s="62">
        <v>262.48043554326711</v>
      </c>
      <c r="G30" s="62" t="s">
        <v>1808</v>
      </c>
      <c r="H30" s="62">
        <v>439.54585721058089</v>
      </c>
      <c r="I30" s="62" t="s">
        <v>1808</v>
      </c>
      <c r="J30" s="62">
        <v>300.4745303139747</v>
      </c>
      <c r="K30" s="62" t="s">
        <v>1807</v>
      </c>
      <c r="L30" s="62">
        <v>5.1770587136550601</v>
      </c>
      <c r="M30" s="62" t="s">
        <v>1808</v>
      </c>
      <c r="N30" s="62">
        <v>1.530216226548039</v>
      </c>
      <c r="O30" s="62" t="s">
        <v>1808</v>
      </c>
      <c r="P30" s="62">
        <v>44.78211466440527</v>
      </c>
      <c r="Q30" s="62" t="s">
        <v>1908</v>
      </c>
      <c r="R30" s="62">
        <v>3.3830143494980152</v>
      </c>
      <c r="S30" s="62" t="s">
        <v>1807</v>
      </c>
      <c r="T30" s="62">
        <v>0.29612533771456478</v>
      </c>
      <c r="U30" s="62" t="s">
        <v>1908</v>
      </c>
      <c r="V30" s="62">
        <v>110.02099038007692</v>
      </c>
      <c r="W30" s="10" t="s">
        <v>1808</v>
      </c>
    </row>
    <row r="31" spans="2:23" ht="25.2" customHeight="1" x14ac:dyDescent="0.3">
      <c r="B31" s="16" t="s">
        <v>1017</v>
      </c>
      <c r="C31" s="18">
        <v>300</v>
      </c>
      <c r="D31" s="62">
        <v>399.04858066650382</v>
      </c>
      <c r="E31" s="62" t="s">
        <v>1808</v>
      </c>
      <c r="F31" s="62">
        <v>339.06388516128726</v>
      </c>
      <c r="G31" s="62" t="s">
        <v>1808</v>
      </c>
      <c r="H31" s="62">
        <v>19.555315344184585</v>
      </c>
      <c r="I31" s="62" t="s">
        <v>1908</v>
      </c>
      <c r="J31" s="62">
        <v>52.932103482309145</v>
      </c>
      <c r="K31" s="62" t="s">
        <v>1908</v>
      </c>
      <c r="L31" s="62">
        <v>5.4699823488714738</v>
      </c>
      <c r="M31" s="62" t="s">
        <v>1808</v>
      </c>
      <c r="N31" s="62" t="s">
        <v>1907</v>
      </c>
      <c r="O31" s="62" t="s">
        <v>1808</v>
      </c>
      <c r="P31" s="62">
        <v>6.8508941726604968</v>
      </c>
      <c r="Q31" s="62" t="s">
        <v>1908</v>
      </c>
      <c r="R31" s="62">
        <v>2.2202875936754403</v>
      </c>
      <c r="S31" s="62" t="s">
        <v>1807</v>
      </c>
      <c r="T31" s="62">
        <v>4.6200626909974766E-3</v>
      </c>
      <c r="U31" s="62" t="s">
        <v>1908</v>
      </c>
      <c r="V31" s="62">
        <v>11.847557326916618</v>
      </c>
      <c r="W31" s="10" t="s">
        <v>1908</v>
      </c>
    </row>
    <row r="32" spans="2:23" ht="25.2" customHeight="1" x14ac:dyDescent="0.3">
      <c r="B32" s="16" t="s">
        <v>1017</v>
      </c>
      <c r="C32" s="17">
        <v>400</v>
      </c>
      <c r="D32" s="62">
        <v>161.62936045501112</v>
      </c>
      <c r="E32" s="62" t="s">
        <v>1808</v>
      </c>
      <c r="F32" s="62">
        <v>151.44577702204651</v>
      </c>
      <c r="G32" s="62" t="s">
        <v>1808</v>
      </c>
      <c r="H32" s="62">
        <v>4.6961921670944839</v>
      </c>
      <c r="I32" s="62" t="s">
        <v>1908</v>
      </c>
      <c r="J32" s="62">
        <v>49.702034892531984</v>
      </c>
      <c r="K32" s="62" t="s">
        <v>1908</v>
      </c>
      <c r="L32" s="62">
        <v>4.5707144137187914</v>
      </c>
      <c r="M32" s="62" t="s">
        <v>1808</v>
      </c>
      <c r="N32" s="62">
        <v>5.0416191443674631E-2</v>
      </c>
      <c r="O32" s="62" t="s">
        <v>1908</v>
      </c>
      <c r="P32" s="62" t="s">
        <v>1907</v>
      </c>
      <c r="Q32" s="62" t="s">
        <v>1808</v>
      </c>
      <c r="R32" s="62">
        <v>1.4023280833272864</v>
      </c>
      <c r="S32" s="62" t="s">
        <v>1807</v>
      </c>
      <c r="T32" s="62">
        <v>1.6089149144425066E-2</v>
      </c>
      <c r="U32" s="62" t="s">
        <v>1908</v>
      </c>
      <c r="V32" s="62" t="s">
        <v>1907</v>
      </c>
      <c r="W32" s="10" t="s">
        <v>1808</v>
      </c>
    </row>
    <row r="33" spans="2:23" ht="25.2" customHeight="1" x14ac:dyDescent="0.3">
      <c r="B33" s="16" t="s">
        <v>1017</v>
      </c>
      <c r="C33" s="18">
        <v>500</v>
      </c>
      <c r="D33" s="62">
        <v>249.73376897607207</v>
      </c>
      <c r="E33" s="62" t="s">
        <v>1808</v>
      </c>
      <c r="F33" s="62">
        <v>125.72798213366738</v>
      </c>
      <c r="G33" s="62" t="s">
        <v>1808</v>
      </c>
      <c r="H33" s="62">
        <v>9.0532853450238857</v>
      </c>
      <c r="I33" s="62" t="s">
        <v>1908</v>
      </c>
      <c r="J33" s="62">
        <v>118.78990073868582</v>
      </c>
      <c r="K33" s="62" t="s">
        <v>1807</v>
      </c>
      <c r="L33" s="62">
        <v>4.899658403130478</v>
      </c>
      <c r="M33" s="62" t="s">
        <v>1808</v>
      </c>
      <c r="N33" s="62">
        <v>2.7031049797555367E-2</v>
      </c>
      <c r="O33" s="62" t="s">
        <v>1908</v>
      </c>
      <c r="P33" s="62">
        <v>85.702943826614089</v>
      </c>
      <c r="Q33" s="62" t="s">
        <v>1807</v>
      </c>
      <c r="R33" s="62">
        <v>2.0411992436934696</v>
      </c>
      <c r="S33" s="62" t="s">
        <v>1807</v>
      </c>
      <c r="T33" s="62">
        <v>7.5846995643812767E-2</v>
      </c>
      <c r="U33" s="62" t="s">
        <v>1908</v>
      </c>
      <c r="V33" s="62" t="s">
        <v>1907</v>
      </c>
      <c r="W33" s="10" t="s">
        <v>1808</v>
      </c>
    </row>
    <row r="34" spans="2:23" ht="25.2" customHeight="1" x14ac:dyDescent="0.3">
      <c r="B34" s="16" t="s">
        <v>1017</v>
      </c>
      <c r="C34" s="17">
        <v>600</v>
      </c>
      <c r="D34" s="62">
        <v>84.690199458323818</v>
      </c>
      <c r="E34" s="62" t="s">
        <v>1808</v>
      </c>
      <c r="F34" s="62">
        <v>49.512341263229118</v>
      </c>
      <c r="G34" s="62" t="s">
        <v>1808</v>
      </c>
      <c r="H34" s="62">
        <v>38.194894192368537</v>
      </c>
      <c r="I34" s="62" t="s">
        <v>1807</v>
      </c>
      <c r="J34" s="62">
        <v>98.858298974969429</v>
      </c>
      <c r="K34" s="62" t="s">
        <v>1807</v>
      </c>
      <c r="L34" s="62">
        <v>3.6037710642617053</v>
      </c>
      <c r="M34" s="62" t="s">
        <v>1808</v>
      </c>
      <c r="N34" s="62">
        <v>4.4611702520336242E-2</v>
      </c>
      <c r="O34" s="62" t="s">
        <v>1908</v>
      </c>
      <c r="P34" s="62">
        <v>8.2013990439240914</v>
      </c>
      <c r="Q34" s="62" t="s">
        <v>1908</v>
      </c>
      <c r="R34" s="62">
        <v>1.6699964665848224</v>
      </c>
      <c r="S34" s="62" t="s">
        <v>1807</v>
      </c>
      <c r="T34" s="62">
        <v>6.0989659046069851E-2</v>
      </c>
      <c r="U34" s="62" t="s">
        <v>1908</v>
      </c>
      <c r="V34" s="62">
        <v>24.807013476552957</v>
      </c>
      <c r="W34" s="10" t="s">
        <v>1807</v>
      </c>
    </row>
    <row r="35" spans="2:23" ht="25.2" customHeight="1" x14ac:dyDescent="0.3">
      <c r="B35" s="16" t="s">
        <v>1017</v>
      </c>
      <c r="C35" s="18">
        <v>700</v>
      </c>
      <c r="D35" s="62">
        <v>226.0784500125593</v>
      </c>
      <c r="E35" s="62" t="s">
        <v>1808</v>
      </c>
      <c r="F35" s="62">
        <v>151.0530591309365</v>
      </c>
      <c r="G35" s="62" t="s">
        <v>1808</v>
      </c>
      <c r="H35" s="62">
        <v>21.422815195773143</v>
      </c>
      <c r="I35" s="62" t="s">
        <v>1908</v>
      </c>
      <c r="J35" s="62">
        <v>98.446732728783488</v>
      </c>
      <c r="K35" s="62" t="s">
        <v>1807</v>
      </c>
      <c r="L35" s="62">
        <v>4.2626914798367599</v>
      </c>
      <c r="M35" s="62" t="s">
        <v>1808</v>
      </c>
      <c r="N35" s="62">
        <v>5.498731205381964E-2</v>
      </c>
      <c r="O35" s="62" t="s">
        <v>1908</v>
      </c>
      <c r="P35" s="62">
        <v>15.931013892506693</v>
      </c>
      <c r="Q35" s="62" t="s">
        <v>1908</v>
      </c>
      <c r="R35" s="62">
        <v>1.6744947351029018</v>
      </c>
      <c r="S35" s="62" t="s">
        <v>1807</v>
      </c>
      <c r="T35" s="62">
        <v>0.20978307604495483</v>
      </c>
      <c r="U35" s="62" t="s">
        <v>1908</v>
      </c>
      <c r="V35" s="62">
        <v>15.419699641240079</v>
      </c>
      <c r="W35" s="10" t="s">
        <v>1908</v>
      </c>
    </row>
    <row r="36" spans="2:23" ht="25.2" customHeight="1" x14ac:dyDescent="0.3">
      <c r="B36" s="16" t="s">
        <v>1017</v>
      </c>
      <c r="C36" s="17">
        <v>800</v>
      </c>
      <c r="D36" s="62">
        <v>478.13797255017533</v>
      </c>
      <c r="E36" s="62" t="s">
        <v>1808</v>
      </c>
      <c r="F36" s="62">
        <v>644.45301100046379</v>
      </c>
      <c r="G36" s="62" t="s">
        <v>1808</v>
      </c>
      <c r="H36" s="62">
        <v>11.365262626617094</v>
      </c>
      <c r="I36" s="62" t="s">
        <v>1908</v>
      </c>
      <c r="J36" s="62">
        <v>198.21585544982074</v>
      </c>
      <c r="K36" s="62" t="s">
        <v>1807</v>
      </c>
      <c r="L36" s="62">
        <v>6.0103297734566761</v>
      </c>
      <c r="M36" s="62" t="s">
        <v>1808</v>
      </c>
      <c r="N36" s="62">
        <v>0.42793719419534937</v>
      </c>
      <c r="O36" s="62" t="s">
        <v>1807</v>
      </c>
      <c r="P36" s="62">
        <v>24.803551759986881</v>
      </c>
      <c r="Q36" s="62" t="s">
        <v>1908</v>
      </c>
      <c r="R36" s="62">
        <v>2.5555235177982141</v>
      </c>
      <c r="S36" s="62" t="s">
        <v>1807</v>
      </c>
      <c r="T36" s="62">
        <v>9.514995280105211E-2</v>
      </c>
      <c r="U36" s="62" t="s">
        <v>1908</v>
      </c>
      <c r="V36" s="62">
        <v>7.3563288905730246</v>
      </c>
      <c r="W36" s="10" t="s">
        <v>1908</v>
      </c>
    </row>
    <row r="37" spans="2:23" ht="25.2" customHeight="1" x14ac:dyDescent="0.3">
      <c r="B37" s="16" t="s">
        <v>1017</v>
      </c>
      <c r="C37" s="18">
        <v>900</v>
      </c>
      <c r="D37" s="62">
        <v>273.87941189592487</v>
      </c>
      <c r="E37" s="62" t="s">
        <v>1808</v>
      </c>
      <c r="F37" s="62">
        <v>363.74161423375591</v>
      </c>
      <c r="G37" s="62" t="s">
        <v>1808</v>
      </c>
      <c r="H37" s="62">
        <v>6.0401542082609643</v>
      </c>
      <c r="I37" s="62" t="s">
        <v>1908</v>
      </c>
      <c r="J37" s="62">
        <v>78.157428212037104</v>
      </c>
      <c r="K37" s="62" t="s">
        <v>1908</v>
      </c>
      <c r="L37" s="62">
        <v>5.285826107130891</v>
      </c>
      <c r="M37" s="62" t="s">
        <v>1808</v>
      </c>
      <c r="N37" s="62" t="s">
        <v>1907</v>
      </c>
      <c r="O37" s="62" t="s">
        <v>1808</v>
      </c>
      <c r="P37" s="62">
        <v>2.3356496819586603</v>
      </c>
      <c r="Q37" s="62" t="s">
        <v>1908</v>
      </c>
      <c r="R37" s="62">
        <v>1.9718506629018402</v>
      </c>
      <c r="S37" s="62" t="s">
        <v>1807</v>
      </c>
      <c r="T37" s="62">
        <v>0.20422760880034399</v>
      </c>
      <c r="U37" s="62" t="s">
        <v>1908</v>
      </c>
      <c r="V37" s="62">
        <v>3.6541907005729115</v>
      </c>
      <c r="W37" s="10" t="s">
        <v>1908</v>
      </c>
    </row>
    <row r="38" spans="2:23" ht="25.2" customHeight="1" x14ac:dyDescent="0.3">
      <c r="B38" s="16" t="s">
        <v>1017</v>
      </c>
      <c r="C38" s="17">
        <v>1000</v>
      </c>
      <c r="D38" s="62">
        <v>990.17108723876777</v>
      </c>
      <c r="E38" s="62" t="s">
        <v>1808</v>
      </c>
      <c r="F38" s="62">
        <v>1382.6255366872761</v>
      </c>
      <c r="G38" s="62" t="s">
        <v>1808</v>
      </c>
      <c r="H38" s="62">
        <v>38.997002742261799</v>
      </c>
      <c r="I38" s="62" t="s">
        <v>1807</v>
      </c>
      <c r="J38" s="62">
        <v>213.59419444133329</v>
      </c>
      <c r="K38" s="62" t="s">
        <v>1807</v>
      </c>
      <c r="L38" s="62">
        <v>7.8816385959526194</v>
      </c>
      <c r="M38" s="62" t="s">
        <v>1808</v>
      </c>
      <c r="N38" s="62">
        <v>2.2246904427041191E-3</v>
      </c>
      <c r="O38" s="62" t="s">
        <v>1908</v>
      </c>
      <c r="P38" s="62">
        <v>9.5174672364724984</v>
      </c>
      <c r="Q38" s="62" t="s">
        <v>1908</v>
      </c>
      <c r="R38" s="62">
        <v>5.1244660222487921</v>
      </c>
      <c r="S38" s="62" t="s">
        <v>1808</v>
      </c>
      <c r="T38" s="62">
        <v>0.17045952724479901</v>
      </c>
      <c r="U38" s="62" t="s">
        <v>1908</v>
      </c>
      <c r="V38" s="62">
        <v>23.755720736324687</v>
      </c>
      <c r="W38" s="10" t="s">
        <v>1807</v>
      </c>
    </row>
    <row r="39" spans="2:23" ht="25.2" customHeight="1" x14ac:dyDescent="0.3">
      <c r="B39" s="16" t="s">
        <v>1017</v>
      </c>
      <c r="C39" s="18">
        <v>1100</v>
      </c>
      <c r="D39" s="62">
        <v>2305.4452884864672</v>
      </c>
      <c r="E39" s="62" t="s">
        <v>1808</v>
      </c>
      <c r="F39" s="62">
        <v>3539.0629899476489</v>
      </c>
      <c r="G39" s="62" t="s">
        <v>1808</v>
      </c>
      <c r="H39" s="62">
        <v>13.002261605948741</v>
      </c>
      <c r="I39" s="62" t="s">
        <v>1908</v>
      </c>
      <c r="J39" s="62">
        <v>299.89141670302939</v>
      </c>
      <c r="K39" s="62" t="s">
        <v>1807</v>
      </c>
      <c r="L39" s="62">
        <v>9.3410592315074208</v>
      </c>
      <c r="M39" s="62" t="s">
        <v>1808</v>
      </c>
      <c r="N39" s="62">
        <v>5.6560750842377674E-2</v>
      </c>
      <c r="O39" s="62" t="s">
        <v>1908</v>
      </c>
      <c r="P39" s="62">
        <v>24.120706058602426</v>
      </c>
      <c r="Q39" s="62" t="s">
        <v>1908</v>
      </c>
      <c r="R39" s="62">
        <v>6.0978083381316175</v>
      </c>
      <c r="S39" s="62" t="s">
        <v>1808</v>
      </c>
      <c r="T39" s="62">
        <v>9.3253011825503593E-2</v>
      </c>
      <c r="U39" s="62" t="s">
        <v>1908</v>
      </c>
      <c r="V39" s="62">
        <v>14.211904367373325</v>
      </c>
      <c r="W39" s="10" t="s">
        <v>1908</v>
      </c>
    </row>
    <row r="40" spans="2:23" ht="25.2" customHeight="1" x14ac:dyDescent="0.3">
      <c r="B40" s="16" t="s">
        <v>1017</v>
      </c>
      <c r="C40" s="17">
        <v>1200</v>
      </c>
      <c r="D40" s="62">
        <v>4889.7576576447518</v>
      </c>
      <c r="E40" s="62" t="s">
        <v>1808</v>
      </c>
      <c r="F40" s="62">
        <v>12062.044249492643</v>
      </c>
      <c r="G40" s="62" t="s">
        <v>1808</v>
      </c>
      <c r="H40" s="62">
        <v>9.6521940924427412</v>
      </c>
      <c r="I40" s="62" t="s">
        <v>1908</v>
      </c>
      <c r="J40" s="62">
        <v>536.47876638217349</v>
      </c>
      <c r="K40" s="62" t="s">
        <v>1808</v>
      </c>
      <c r="L40" s="62">
        <v>11.90749814974536</v>
      </c>
      <c r="M40" s="62" t="s">
        <v>1808</v>
      </c>
      <c r="N40" s="62">
        <v>2.5801427736802808E-2</v>
      </c>
      <c r="O40" s="62" t="s">
        <v>1908</v>
      </c>
      <c r="P40" s="62">
        <v>19.301687853178002</v>
      </c>
      <c r="Q40" s="62" t="s">
        <v>1908</v>
      </c>
      <c r="R40" s="62">
        <v>10.288439527898094</v>
      </c>
      <c r="S40" s="62" t="s">
        <v>1808</v>
      </c>
      <c r="T40" s="62">
        <v>8.4249136570703709E-2</v>
      </c>
      <c r="U40" s="62" t="s">
        <v>1908</v>
      </c>
      <c r="V40" s="62">
        <v>14.664083432120897</v>
      </c>
      <c r="W40" s="10" t="s">
        <v>1908</v>
      </c>
    </row>
    <row r="41" spans="2:23" ht="25.2" customHeight="1" x14ac:dyDescent="0.3">
      <c r="B41" s="16" t="s">
        <v>1017</v>
      </c>
      <c r="C41" s="18">
        <v>1300</v>
      </c>
      <c r="D41" s="62">
        <v>1769.6065965656214</v>
      </c>
      <c r="E41" s="62" t="s">
        <v>1808</v>
      </c>
      <c r="F41" s="62">
        <v>10311.852040172636</v>
      </c>
      <c r="G41" s="62" t="s">
        <v>1808</v>
      </c>
      <c r="H41" s="62">
        <v>25.324246880599024</v>
      </c>
      <c r="I41" s="62" t="s">
        <v>1908</v>
      </c>
      <c r="J41" s="62">
        <v>685.78416609236126</v>
      </c>
      <c r="K41" s="62" t="s">
        <v>1808</v>
      </c>
      <c r="L41" s="62">
        <v>9.7587940990815536</v>
      </c>
      <c r="M41" s="62" t="s">
        <v>1808</v>
      </c>
      <c r="N41" s="62">
        <v>5.6470619498503904E-2</v>
      </c>
      <c r="O41" s="62" t="s">
        <v>1908</v>
      </c>
      <c r="P41" s="62">
        <v>20.947135718141407</v>
      </c>
      <c r="Q41" s="62" t="s">
        <v>1908</v>
      </c>
      <c r="R41" s="62">
        <v>9.2266378640517033</v>
      </c>
      <c r="S41" s="62" t="s">
        <v>1808</v>
      </c>
      <c r="T41" s="62">
        <v>0.28142629412138481</v>
      </c>
      <c r="U41" s="62" t="s">
        <v>1908</v>
      </c>
      <c r="V41" s="62">
        <v>24.27866654341809</v>
      </c>
      <c r="W41" s="10" t="s">
        <v>1807</v>
      </c>
    </row>
    <row r="42" spans="2:23" ht="25.2" customHeight="1" x14ac:dyDescent="0.3">
      <c r="B42" s="16" t="s">
        <v>1018</v>
      </c>
      <c r="C42" s="17">
        <v>100</v>
      </c>
      <c r="D42" s="62">
        <v>29.850345301893189</v>
      </c>
      <c r="E42" s="62" t="s">
        <v>1807</v>
      </c>
      <c r="F42" s="62">
        <v>255.5499146826767</v>
      </c>
      <c r="G42" s="62" t="s">
        <v>1808</v>
      </c>
      <c r="H42" s="62" t="s">
        <v>1907</v>
      </c>
      <c r="I42" s="62" t="s">
        <v>1808</v>
      </c>
      <c r="J42" s="62" t="s">
        <v>1907</v>
      </c>
      <c r="K42" s="62" t="s">
        <v>1808</v>
      </c>
      <c r="L42" s="62">
        <v>8.7202839740373346</v>
      </c>
      <c r="M42" s="62" t="s">
        <v>1808</v>
      </c>
      <c r="N42" s="62" t="s">
        <v>1907</v>
      </c>
      <c r="O42" s="62" t="s">
        <v>1808</v>
      </c>
      <c r="P42" s="62" t="s">
        <v>1907</v>
      </c>
      <c r="Q42" s="62" t="s">
        <v>1808</v>
      </c>
      <c r="R42" s="62">
        <v>1.2924300561670468</v>
      </c>
      <c r="S42" s="62" t="s">
        <v>1908</v>
      </c>
      <c r="T42" s="62" t="s">
        <v>1907</v>
      </c>
      <c r="U42" s="62" t="s">
        <v>1808</v>
      </c>
      <c r="V42" s="62" t="s">
        <v>1907</v>
      </c>
      <c r="W42" s="10" t="s">
        <v>1808</v>
      </c>
    </row>
    <row r="43" spans="2:23" ht="25.2" customHeight="1" x14ac:dyDescent="0.3">
      <c r="B43" s="16" t="s">
        <v>1018</v>
      </c>
      <c r="C43" s="18">
        <v>200</v>
      </c>
      <c r="D43" s="62">
        <v>42.952407517562882</v>
      </c>
      <c r="E43" s="62" t="s">
        <v>1807</v>
      </c>
      <c r="F43" s="62">
        <v>293.37301677356737</v>
      </c>
      <c r="G43" s="62" t="s">
        <v>1808</v>
      </c>
      <c r="H43" s="62">
        <v>11.421953373729762</v>
      </c>
      <c r="I43" s="62" t="s">
        <v>1908</v>
      </c>
      <c r="J43" s="62">
        <v>67.731867135924816</v>
      </c>
      <c r="K43" s="62" t="s">
        <v>1908</v>
      </c>
      <c r="L43" s="62">
        <v>7.1073782129633454</v>
      </c>
      <c r="M43" s="62" t="s">
        <v>1808</v>
      </c>
      <c r="N43" s="62">
        <v>4.0827931592402923E-2</v>
      </c>
      <c r="O43" s="62" t="s">
        <v>1908</v>
      </c>
      <c r="P43" s="62" t="s">
        <v>1907</v>
      </c>
      <c r="Q43" s="62" t="s">
        <v>1808</v>
      </c>
      <c r="R43" s="62">
        <v>1.8603479994078178</v>
      </c>
      <c r="S43" s="62" t="s">
        <v>1807</v>
      </c>
      <c r="T43" s="62">
        <v>3.6889860498947637E-3</v>
      </c>
      <c r="U43" s="62" t="s">
        <v>1908</v>
      </c>
      <c r="V43" s="62">
        <v>9.7613489546522416</v>
      </c>
      <c r="W43" s="10" t="s">
        <v>1908</v>
      </c>
    </row>
    <row r="44" spans="2:23" ht="25.2" customHeight="1" x14ac:dyDescent="0.3">
      <c r="B44" s="16" t="s">
        <v>1018</v>
      </c>
      <c r="C44" s="18">
        <v>300</v>
      </c>
      <c r="D44" s="62">
        <v>55.970745381305612</v>
      </c>
      <c r="E44" s="62" t="s">
        <v>1807</v>
      </c>
      <c r="F44" s="62">
        <v>409.13748267250617</v>
      </c>
      <c r="G44" s="62" t="s">
        <v>1808</v>
      </c>
      <c r="H44" s="62">
        <v>115.6673078657843</v>
      </c>
      <c r="I44" s="62" t="s">
        <v>1808</v>
      </c>
      <c r="J44" s="62">
        <v>74.785948148018974</v>
      </c>
      <c r="K44" s="62" t="s">
        <v>1908</v>
      </c>
      <c r="L44" s="62">
        <v>8.2018451082081061</v>
      </c>
      <c r="M44" s="62" t="s">
        <v>1808</v>
      </c>
      <c r="N44" s="62" t="s">
        <v>1907</v>
      </c>
      <c r="O44" s="62" t="s">
        <v>1808</v>
      </c>
      <c r="P44" s="62" t="s">
        <v>1907</v>
      </c>
      <c r="Q44" s="62" t="s">
        <v>1808</v>
      </c>
      <c r="R44" s="62">
        <v>2.7831748360771549</v>
      </c>
      <c r="S44" s="62" t="s">
        <v>1807</v>
      </c>
      <c r="T44" s="62" t="s">
        <v>1907</v>
      </c>
      <c r="U44" s="62" t="s">
        <v>1808</v>
      </c>
      <c r="V44" s="62">
        <v>27.348586666623483</v>
      </c>
      <c r="W44" s="10" t="s">
        <v>1807</v>
      </c>
    </row>
    <row r="45" spans="2:23" ht="25.2" customHeight="1" x14ac:dyDescent="0.3">
      <c r="B45" s="16" t="s">
        <v>1018</v>
      </c>
      <c r="C45" s="17">
        <v>400</v>
      </c>
      <c r="D45" s="62">
        <v>104.70228955922983</v>
      </c>
      <c r="E45" s="62" t="s">
        <v>1808</v>
      </c>
      <c r="F45" s="62">
        <v>573.42559091416149</v>
      </c>
      <c r="G45" s="62" t="s">
        <v>1808</v>
      </c>
      <c r="H45" s="62" t="s">
        <v>1907</v>
      </c>
      <c r="I45" s="62" t="s">
        <v>1808</v>
      </c>
      <c r="J45" s="62">
        <v>23.059040945196184</v>
      </c>
      <c r="K45" s="62" t="s">
        <v>1908</v>
      </c>
      <c r="L45" s="62">
        <v>7.9741927210536065</v>
      </c>
      <c r="M45" s="62" t="s">
        <v>1808</v>
      </c>
      <c r="N45" s="62" t="s">
        <v>1907</v>
      </c>
      <c r="O45" s="62" t="s">
        <v>1808</v>
      </c>
      <c r="P45" s="62" t="s">
        <v>1907</v>
      </c>
      <c r="Q45" s="62" t="s">
        <v>1808</v>
      </c>
      <c r="R45" s="62">
        <v>2.7103823797594822</v>
      </c>
      <c r="S45" s="62" t="s">
        <v>1807</v>
      </c>
      <c r="T45" s="62" t="s">
        <v>1907</v>
      </c>
      <c r="U45" s="62" t="s">
        <v>1808</v>
      </c>
      <c r="V45" s="62" t="s">
        <v>1907</v>
      </c>
      <c r="W45" s="10" t="s">
        <v>1808</v>
      </c>
    </row>
    <row r="46" spans="2:23" ht="25.2" customHeight="1" x14ac:dyDescent="0.3">
      <c r="B46" s="16" t="s">
        <v>1018</v>
      </c>
      <c r="C46" s="18">
        <v>500</v>
      </c>
      <c r="D46" s="62">
        <v>198.62152739991703</v>
      </c>
      <c r="E46" s="62" t="s">
        <v>1808</v>
      </c>
      <c r="F46" s="62">
        <v>1014.7061386052246</v>
      </c>
      <c r="G46" s="62" t="s">
        <v>1808</v>
      </c>
      <c r="H46" s="62">
        <v>3.0251571586561337</v>
      </c>
      <c r="I46" s="62" t="s">
        <v>1908</v>
      </c>
      <c r="J46" s="62">
        <v>64.046732888390451</v>
      </c>
      <c r="K46" s="62" t="s">
        <v>1908</v>
      </c>
      <c r="L46" s="62">
        <v>9.2334812554170576</v>
      </c>
      <c r="M46" s="62" t="s">
        <v>1808</v>
      </c>
      <c r="N46" s="62">
        <v>9.2367603176363708E-2</v>
      </c>
      <c r="O46" s="62" t="s">
        <v>1908</v>
      </c>
      <c r="P46" s="62" t="s">
        <v>1907</v>
      </c>
      <c r="Q46" s="62" t="s">
        <v>1808</v>
      </c>
      <c r="R46" s="62">
        <v>4.709202335976804</v>
      </c>
      <c r="S46" s="62" t="s">
        <v>1808</v>
      </c>
      <c r="T46" s="62" t="s">
        <v>1907</v>
      </c>
      <c r="U46" s="62" t="s">
        <v>1808</v>
      </c>
      <c r="V46" s="62" t="s">
        <v>1907</v>
      </c>
      <c r="W46" s="10" t="s">
        <v>1808</v>
      </c>
    </row>
    <row r="47" spans="2:23" ht="25.2" customHeight="1" x14ac:dyDescent="0.3">
      <c r="B47" s="16" t="s">
        <v>1019</v>
      </c>
      <c r="C47" s="17">
        <v>100</v>
      </c>
      <c r="D47" s="62">
        <v>66.966867566973207</v>
      </c>
      <c r="E47" s="62" t="s">
        <v>1807</v>
      </c>
      <c r="F47" s="62">
        <v>413.38128096246726</v>
      </c>
      <c r="G47" s="62" t="s">
        <v>1808</v>
      </c>
      <c r="H47" s="62">
        <v>4.3096973619993157</v>
      </c>
      <c r="I47" s="62" t="s">
        <v>1908</v>
      </c>
      <c r="J47" s="62">
        <v>57.834953564916859</v>
      </c>
      <c r="K47" s="62" t="s">
        <v>1908</v>
      </c>
      <c r="L47" s="62">
        <v>9.2107502128074685</v>
      </c>
      <c r="M47" s="62" t="s">
        <v>1808</v>
      </c>
      <c r="N47" s="62" t="s">
        <v>1907</v>
      </c>
      <c r="O47" s="62" t="s">
        <v>1808</v>
      </c>
      <c r="P47" s="62" t="s">
        <v>1907</v>
      </c>
      <c r="Q47" s="62" t="s">
        <v>1808</v>
      </c>
      <c r="R47" s="62">
        <v>2.6716983018211709</v>
      </c>
      <c r="S47" s="62" t="s">
        <v>1807</v>
      </c>
      <c r="T47" s="62">
        <v>4.2961002450897984E-2</v>
      </c>
      <c r="U47" s="62" t="s">
        <v>1908</v>
      </c>
      <c r="V47" s="62">
        <v>5.9689393620019633</v>
      </c>
      <c r="W47" s="10" t="s">
        <v>1908</v>
      </c>
    </row>
    <row r="48" spans="2:23" ht="25.2" customHeight="1" x14ac:dyDescent="0.3">
      <c r="B48" s="16" t="s">
        <v>1019</v>
      </c>
      <c r="C48" s="18">
        <v>200</v>
      </c>
      <c r="D48" s="62">
        <v>94.577817490781882</v>
      </c>
      <c r="E48" s="62" t="s">
        <v>1808</v>
      </c>
      <c r="F48" s="62">
        <v>657.36501312890755</v>
      </c>
      <c r="G48" s="62" t="s">
        <v>1808</v>
      </c>
      <c r="H48" s="62">
        <v>27.252392150353749</v>
      </c>
      <c r="I48" s="62" t="s">
        <v>1807</v>
      </c>
      <c r="J48" s="62">
        <v>156.34245567314517</v>
      </c>
      <c r="K48" s="62" t="s">
        <v>1807</v>
      </c>
      <c r="L48" s="62">
        <v>10.284381032797093</v>
      </c>
      <c r="M48" s="62" t="s">
        <v>1808</v>
      </c>
      <c r="N48" s="62">
        <v>2.6103429524623599E-2</v>
      </c>
      <c r="O48" s="62" t="s">
        <v>1908</v>
      </c>
      <c r="P48" s="62">
        <v>53.559114571227212</v>
      </c>
      <c r="Q48" s="62" t="s">
        <v>1908</v>
      </c>
      <c r="R48" s="62">
        <v>4.3951997984943594</v>
      </c>
      <c r="S48" s="62" t="s">
        <v>1807</v>
      </c>
      <c r="T48" s="62">
        <v>0.22114585436988818</v>
      </c>
      <c r="U48" s="62" t="s">
        <v>1908</v>
      </c>
      <c r="V48" s="62">
        <v>13.694648425573849</v>
      </c>
      <c r="W48" s="10" t="s">
        <v>1908</v>
      </c>
    </row>
    <row r="49" spans="2:23" ht="25.2" customHeight="1" x14ac:dyDescent="0.3">
      <c r="B49" s="16" t="s">
        <v>1019</v>
      </c>
      <c r="C49" s="18">
        <v>300</v>
      </c>
      <c r="D49" s="62">
        <v>70.396637391665848</v>
      </c>
      <c r="E49" s="62" t="s">
        <v>1807</v>
      </c>
      <c r="F49" s="62">
        <v>554.66257970544746</v>
      </c>
      <c r="G49" s="62" t="s">
        <v>1808</v>
      </c>
      <c r="H49" s="62">
        <v>24.459740716779788</v>
      </c>
      <c r="I49" s="62" t="s">
        <v>1908</v>
      </c>
      <c r="J49" s="62">
        <v>69.043397390921967</v>
      </c>
      <c r="K49" s="62" t="s">
        <v>1908</v>
      </c>
      <c r="L49" s="62">
        <v>8.2808570751166517</v>
      </c>
      <c r="M49" s="62" t="s">
        <v>1808</v>
      </c>
      <c r="N49" s="62">
        <v>0.13445462460271765</v>
      </c>
      <c r="O49" s="62" t="s">
        <v>1908</v>
      </c>
      <c r="P49" s="62">
        <v>13.160156100264683</v>
      </c>
      <c r="Q49" s="62" t="s">
        <v>1908</v>
      </c>
      <c r="R49" s="62">
        <v>3.6779409111487733</v>
      </c>
      <c r="S49" s="62" t="s">
        <v>1807</v>
      </c>
      <c r="T49" s="62">
        <v>2.0013316921599637E-2</v>
      </c>
      <c r="U49" s="62" t="s">
        <v>1908</v>
      </c>
      <c r="V49" s="62">
        <v>3.8692825022677049</v>
      </c>
      <c r="W49" s="10" t="s">
        <v>1908</v>
      </c>
    </row>
    <row r="50" spans="2:23" ht="25.2" customHeight="1" x14ac:dyDescent="0.3">
      <c r="B50" s="16" t="s">
        <v>1019</v>
      </c>
      <c r="C50" s="17">
        <v>400</v>
      </c>
      <c r="D50" s="62">
        <v>83.664112586570752</v>
      </c>
      <c r="E50" s="62" t="s">
        <v>1807</v>
      </c>
      <c r="F50" s="62">
        <v>643.89216022444896</v>
      </c>
      <c r="G50" s="62" t="s">
        <v>1808</v>
      </c>
      <c r="H50" s="62">
        <v>23.486248261776478</v>
      </c>
      <c r="I50" s="62" t="s">
        <v>1908</v>
      </c>
      <c r="J50" s="62">
        <v>130.00336677538016</v>
      </c>
      <c r="K50" s="62" t="s">
        <v>1807</v>
      </c>
      <c r="L50" s="62">
        <v>10.07764016119501</v>
      </c>
      <c r="M50" s="62" t="s">
        <v>1808</v>
      </c>
      <c r="N50" s="62">
        <v>1.8167353247969368E-2</v>
      </c>
      <c r="O50" s="62" t="s">
        <v>1908</v>
      </c>
      <c r="P50" s="62" t="s">
        <v>1907</v>
      </c>
      <c r="Q50" s="62" t="s">
        <v>1808</v>
      </c>
      <c r="R50" s="62">
        <v>4.15852077846582</v>
      </c>
      <c r="S50" s="62" t="s">
        <v>1807</v>
      </c>
      <c r="T50" s="62">
        <v>0.13237033557089509</v>
      </c>
      <c r="U50" s="62" t="s">
        <v>1908</v>
      </c>
      <c r="V50" s="62">
        <v>10.941394454937651</v>
      </c>
      <c r="W50" s="10" t="s">
        <v>1908</v>
      </c>
    </row>
    <row r="51" spans="2:23" ht="25.2" customHeight="1" x14ac:dyDescent="0.3">
      <c r="B51" s="16" t="s">
        <v>1019</v>
      </c>
      <c r="C51" s="18">
        <v>500</v>
      </c>
      <c r="D51" s="62">
        <v>109.16008608410975</v>
      </c>
      <c r="E51" s="62" t="s">
        <v>1808</v>
      </c>
      <c r="F51" s="62">
        <v>696.95156844327494</v>
      </c>
      <c r="G51" s="62" t="s">
        <v>1808</v>
      </c>
      <c r="H51" s="62">
        <v>45.486940125588291</v>
      </c>
      <c r="I51" s="62" t="s">
        <v>1807</v>
      </c>
      <c r="J51" s="62">
        <v>110.20002949049035</v>
      </c>
      <c r="K51" s="62" t="s">
        <v>1807</v>
      </c>
      <c r="L51" s="62">
        <v>8.1356706427366738</v>
      </c>
      <c r="M51" s="62" t="s">
        <v>1808</v>
      </c>
      <c r="N51" s="62">
        <v>6.6759975407277045E-2</v>
      </c>
      <c r="O51" s="62" t="s">
        <v>1908</v>
      </c>
      <c r="P51" s="62">
        <v>36.287430429058894</v>
      </c>
      <c r="Q51" s="62" t="s">
        <v>1908</v>
      </c>
      <c r="R51" s="62">
        <v>4.0840073865848785</v>
      </c>
      <c r="S51" s="62" t="s">
        <v>1807</v>
      </c>
      <c r="T51" s="62">
        <v>1.6634315971665647E-2</v>
      </c>
      <c r="U51" s="62" t="s">
        <v>1908</v>
      </c>
      <c r="V51" s="62">
        <v>15.540324370470096</v>
      </c>
      <c r="W51" s="10" t="s">
        <v>1908</v>
      </c>
    </row>
    <row r="52" spans="2:23" ht="25.2" customHeight="1" x14ac:dyDescent="0.3">
      <c r="B52" s="16" t="s">
        <v>1021</v>
      </c>
      <c r="C52" s="17">
        <v>100</v>
      </c>
      <c r="D52" s="62">
        <v>154.32461306386665</v>
      </c>
      <c r="E52" s="62" t="s">
        <v>1808</v>
      </c>
      <c r="F52" s="62">
        <v>707.87400212596719</v>
      </c>
      <c r="G52" s="62" t="s">
        <v>1808</v>
      </c>
      <c r="H52" s="62">
        <v>21.981349126450926</v>
      </c>
      <c r="I52" s="62" t="s">
        <v>1908</v>
      </c>
      <c r="J52" s="62">
        <v>83.465664754592751</v>
      </c>
      <c r="K52" s="62" t="s">
        <v>1908</v>
      </c>
      <c r="L52" s="62">
        <v>0.9639521429752349</v>
      </c>
      <c r="M52" s="62" t="s">
        <v>1807</v>
      </c>
      <c r="N52" s="62" t="s">
        <v>1907</v>
      </c>
      <c r="O52" s="62" t="s">
        <v>1808</v>
      </c>
      <c r="P52" s="62">
        <v>2.8954385810521543</v>
      </c>
      <c r="Q52" s="62" t="s">
        <v>1908</v>
      </c>
      <c r="R52" s="62">
        <v>94.073307803467728</v>
      </c>
      <c r="S52" s="62" t="s">
        <v>1808</v>
      </c>
      <c r="T52" s="62">
        <v>8.5165768873252511E-3</v>
      </c>
      <c r="U52" s="62" t="s">
        <v>1908</v>
      </c>
      <c r="V52" s="62">
        <v>14.430717834487865</v>
      </c>
      <c r="W52" s="10" t="s">
        <v>1908</v>
      </c>
    </row>
    <row r="53" spans="2:23" ht="25.2" customHeight="1" x14ac:dyDescent="0.3">
      <c r="B53" s="16" t="s">
        <v>1021</v>
      </c>
      <c r="C53" s="18">
        <v>200</v>
      </c>
      <c r="D53" s="62">
        <v>335.69236648274887</v>
      </c>
      <c r="E53" s="62" t="s">
        <v>1808</v>
      </c>
      <c r="F53" s="62">
        <v>1520.9983486521044</v>
      </c>
      <c r="G53" s="62" t="s">
        <v>1808</v>
      </c>
      <c r="H53" s="62">
        <v>17.321828348084168</v>
      </c>
      <c r="I53" s="62" t="s">
        <v>1908</v>
      </c>
      <c r="J53" s="62">
        <v>67.896822377491389</v>
      </c>
      <c r="K53" s="62" t="s">
        <v>1908</v>
      </c>
      <c r="L53" s="62">
        <v>0.80797350687465308</v>
      </c>
      <c r="M53" s="62" t="s">
        <v>1807</v>
      </c>
      <c r="N53" s="62" t="s">
        <v>1907</v>
      </c>
      <c r="O53" s="62" t="s">
        <v>1808</v>
      </c>
      <c r="P53" s="62">
        <v>2.8203518888701953</v>
      </c>
      <c r="Q53" s="62" t="s">
        <v>1908</v>
      </c>
      <c r="R53" s="62">
        <v>118.04364590226471</v>
      </c>
      <c r="S53" s="62" t="s">
        <v>1808</v>
      </c>
      <c r="T53" s="62" t="s">
        <v>1907</v>
      </c>
      <c r="U53" s="62" t="s">
        <v>1808</v>
      </c>
      <c r="V53" s="62">
        <v>6.3992147265008024</v>
      </c>
      <c r="W53" s="10" t="s">
        <v>1908</v>
      </c>
    </row>
    <row r="54" spans="2:23" ht="25.2" customHeight="1" x14ac:dyDescent="0.3">
      <c r="B54" s="16" t="s">
        <v>1021</v>
      </c>
      <c r="C54" s="18">
        <v>300</v>
      </c>
      <c r="D54" s="62">
        <v>225.09316502383922</v>
      </c>
      <c r="E54" s="62" t="s">
        <v>1808</v>
      </c>
      <c r="F54" s="62">
        <v>1107.0655892538787</v>
      </c>
      <c r="G54" s="62" t="s">
        <v>1808</v>
      </c>
      <c r="H54" s="62">
        <v>7.6610289487120493</v>
      </c>
      <c r="I54" s="62" t="s">
        <v>1908</v>
      </c>
      <c r="J54" s="62">
        <v>66.822586739047154</v>
      </c>
      <c r="K54" s="62" t="s">
        <v>1908</v>
      </c>
      <c r="L54" s="62">
        <v>0.80497701612016703</v>
      </c>
      <c r="M54" s="62" t="s">
        <v>1807</v>
      </c>
      <c r="N54" s="62" t="s">
        <v>1907</v>
      </c>
      <c r="O54" s="62" t="s">
        <v>1808</v>
      </c>
      <c r="P54" s="62">
        <v>4.5544214284551048</v>
      </c>
      <c r="Q54" s="62" t="s">
        <v>1908</v>
      </c>
      <c r="R54" s="62">
        <v>112.12908288559356</v>
      </c>
      <c r="S54" s="62" t="s">
        <v>1808</v>
      </c>
      <c r="T54" s="62">
        <v>1.9545616677443665E-2</v>
      </c>
      <c r="U54" s="62" t="s">
        <v>1908</v>
      </c>
      <c r="V54" s="62">
        <v>16.989061929159917</v>
      </c>
      <c r="W54" s="10" t="s">
        <v>1908</v>
      </c>
    </row>
    <row r="55" spans="2:23" ht="25.2" customHeight="1" x14ac:dyDescent="0.3">
      <c r="B55" s="16" t="s">
        <v>1021</v>
      </c>
      <c r="C55" s="17">
        <v>400</v>
      </c>
      <c r="D55" s="62">
        <v>113.38677897384885</v>
      </c>
      <c r="E55" s="62" t="s">
        <v>1808</v>
      </c>
      <c r="F55" s="62">
        <v>771.03293055382937</v>
      </c>
      <c r="G55" s="62" t="s">
        <v>1808</v>
      </c>
      <c r="H55" s="62">
        <v>6.4258529010079268</v>
      </c>
      <c r="I55" s="62" t="s">
        <v>1908</v>
      </c>
      <c r="J55" s="62">
        <v>203.54563599258742</v>
      </c>
      <c r="K55" s="62" t="s">
        <v>1807</v>
      </c>
      <c r="L55" s="62">
        <v>0.81570411998434333</v>
      </c>
      <c r="M55" s="62" t="s">
        <v>1807</v>
      </c>
      <c r="N55" s="62">
        <v>7.0980197904804393E-2</v>
      </c>
      <c r="O55" s="62" t="s">
        <v>1908</v>
      </c>
      <c r="P55" s="62" t="s">
        <v>1907</v>
      </c>
      <c r="Q55" s="62" t="s">
        <v>1808</v>
      </c>
      <c r="R55" s="62">
        <v>178.20468269349081</v>
      </c>
      <c r="S55" s="62" t="s">
        <v>1808</v>
      </c>
      <c r="T55" s="62">
        <v>2.0686781935309064E-2</v>
      </c>
      <c r="U55" s="62" t="s">
        <v>1908</v>
      </c>
      <c r="V55" s="62" t="s">
        <v>1907</v>
      </c>
      <c r="W55" s="10" t="s">
        <v>1808</v>
      </c>
    </row>
    <row r="56" spans="2:23" ht="25.2" customHeight="1" x14ac:dyDescent="0.3">
      <c r="B56" s="16" t="s">
        <v>1021</v>
      </c>
      <c r="C56" s="18">
        <v>500</v>
      </c>
      <c r="D56" s="62">
        <v>128.02438525716062</v>
      </c>
      <c r="E56" s="62" t="s">
        <v>1808</v>
      </c>
      <c r="F56" s="62">
        <v>1044.2384025076535</v>
      </c>
      <c r="G56" s="62" t="s">
        <v>1808</v>
      </c>
      <c r="H56" s="62">
        <v>28.081640356907677</v>
      </c>
      <c r="I56" s="62" t="s">
        <v>1807</v>
      </c>
      <c r="J56" s="62">
        <v>510.37606593699519</v>
      </c>
      <c r="K56" s="62" t="s">
        <v>1808</v>
      </c>
      <c r="L56" s="62">
        <v>0.87704413575021689</v>
      </c>
      <c r="M56" s="62" t="s">
        <v>1807</v>
      </c>
      <c r="N56" s="62">
        <v>1.0809134631356309E-2</v>
      </c>
      <c r="O56" s="62" t="s">
        <v>1908</v>
      </c>
      <c r="P56" s="62">
        <v>1.7905416239696907</v>
      </c>
      <c r="Q56" s="62" t="s">
        <v>1908</v>
      </c>
      <c r="R56" s="62">
        <v>271.79873489489563</v>
      </c>
      <c r="S56" s="62" t="s">
        <v>1808</v>
      </c>
      <c r="T56" s="62">
        <v>5.1016305775372597E-2</v>
      </c>
      <c r="U56" s="62" t="s">
        <v>1908</v>
      </c>
      <c r="V56" s="62" t="s">
        <v>1907</v>
      </c>
      <c r="W56" s="10" t="s">
        <v>1808</v>
      </c>
    </row>
    <row r="57" spans="2:23" ht="25.2" customHeight="1" x14ac:dyDescent="0.3">
      <c r="B57" s="16" t="s">
        <v>1022</v>
      </c>
      <c r="C57" s="17">
        <v>100</v>
      </c>
      <c r="D57" s="62">
        <v>101.24785314006238</v>
      </c>
      <c r="E57" s="62" t="s">
        <v>1808</v>
      </c>
      <c r="F57" s="62">
        <v>377.81400625131442</v>
      </c>
      <c r="G57" s="62" t="s">
        <v>1808</v>
      </c>
      <c r="H57" s="62">
        <v>19.426320837872623</v>
      </c>
      <c r="I57" s="62" t="s">
        <v>1908</v>
      </c>
      <c r="J57" s="62">
        <v>121.0216964127755</v>
      </c>
      <c r="K57" s="62" t="s">
        <v>1807</v>
      </c>
      <c r="L57" s="62">
        <v>1.3472967745570488</v>
      </c>
      <c r="M57" s="62" t="s">
        <v>1807</v>
      </c>
      <c r="N57" s="62">
        <v>7.835544065771187E-2</v>
      </c>
      <c r="O57" s="62" t="s">
        <v>1908</v>
      </c>
      <c r="P57" s="62">
        <v>78.18717240142982</v>
      </c>
      <c r="Q57" s="62" t="s">
        <v>1807</v>
      </c>
      <c r="R57" s="62">
        <v>0.86790660069565062</v>
      </c>
      <c r="S57" s="62" t="s">
        <v>1908</v>
      </c>
      <c r="T57" s="62">
        <v>0.10504837449065008</v>
      </c>
      <c r="U57" s="62" t="s">
        <v>1908</v>
      </c>
      <c r="V57" s="62">
        <v>5.5018721334753602</v>
      </c>
      <c r="W57" s="10" t="s">
        <v>1908</v>
      </c>
    </row>
    <row r="58" spans="2:23" ht="25.2" customHeight="1" x14ac:dyDescent="0.3">
      <c r="B58" s="16" t="s">
        <v>1022</v>
      </c>
      <c r="C58" s="18">
        <v>200</v>
      </c>
      <c r="D58" s="62">
        <v>100.43841623098432</v>
      </c>
      <c r="E58" s="62" t="s">
        <v>1808</v>
      </c>
      <c r="F58" s="62">
        <v>461.2068398187817</v>
      </c>
      <c r="G58" s="62" t="s">
        <v>1808</v>
      </c>
      <c r="H58" s="62">
        <v>21.866553077580569</v>
      </c>
      <c r="I58" s="62" t="s">
        <v>1908</v>
      </c>
      <c r="J58" s="62">
        <v>189.35257921817441</v>
      </c>
      <c r="K58" s="62" t="s">
        <v>1807</v>
      </c>
      <c r="L58" s="62">
        <v>1.5679787667861931</v>
      </c>
      <c r="M58" s="62" t="s">
        <v>1808</v>
      </c>
      <c r="N58" s="62" t="s">
        <v>1907</v>
      </c>
      <c r="O58" s="62" t="s">
        <v>1808</v>
      </c>
      <c r="P58" s="62">
        <v>6.1496944379480434</v>
      </c>
      <c r="Q58" s="62" t="s">
        <v>1908</v>
      </c>
      <c r="R58" s="62">
        <v>0.79250415025496224</v>
      </c>
      <c r="S58" s="62" t="s">
        <v>1908</v>
      </c>
      <c r="T58" s="62">
        <v>0.1508389642965845</v>
      </c>
      <c r="U58" s="62" t="s">
        <v>1908</v>
      </c>
      <c r="V58" s="62">
        <v>5.507566495907108</v>
      </c>
      <c r="W58" s="10" t="s">
        <v>1908</v>
      </c>
    </row>
    <row r="59" spans="2:23" ht="25.2" customHeight="1" x14ac:dyDescent="0.3">
      <c r="B59" s="16" t="s">
        <v>1022</v>
      </c>
      <c r="C59" s="18">
        <v>300</v>
      </c>
      <c r="D59" s="62">
        <v>208.13167699099333</v>
      </c>
      <c r="E59" s="62" t="s">
        <v>1808</v>
      </c>
      <c r="F59" s="62">
        <v>941.18949629700535</v>
      </c>
      <c r="G59" s="62" t="s">
        <v>1808</v>
      </c>
      <c r="H59" s="62">
        <v>26.697673684552967</v>
      </c>
      <c r="I59" s="62" t="s">
        <v>1807</v>
      </c>
      <c r="J59" s="62">
        <v>86.126812237663742</v>
      </c>
      <c r="K59" s="62" t="s">
        <v>1908</v>
      </c>
      <c r="L59" s="62">
        <v>1.6335368419490002</v>
      </c>
      <c r="M59" s="62" t="s">
        <v>1808</v>
      </c>
      <c r="N59" s="62">
        <v>1.0795003634074056E-2</v>
      </c>
      <c r="O59" s="62" t="s">
        <v>1908</v>
      </c>
      <c r="P59" s="62">
        <v>8.0676192880581556</v>
      </c>
      <c r="Q59" s="62" t="s">
        <v>1908</v>
      </c>
      <c r="R59" s="62">
        <v>1.1607311968768641</v>
      </c>
      <c r="S59" s="62" t="s">
        <v>1908</v>
      </c>
      <c r="T59" s="62">
        <v>9.2892714305774171E-2</v>
      </c>
      <c r="U59" s="62" t="s">
        <v>1908</v>
      </c>
      <c r="V59" s="62">
        <v>7.3207792393913254</v>
      </c>
      <c r="W59" s="10" t="s">
        <v>1908</v>
      </c>
    </row>
    <row r="60" spans="2:23" ht="25.2" customHeight="1" x14ac:dyDescent="0.3">
      <c r="B60" s="16" t="s">
        <v>1022</v>
      </c>
      <c r="C60" s="17">
        <v>400</v>
      </c>
      <c r="D60" s="62">
        <v>178.35610186528743</v>
      </c>
      <c r="E60" s="62" t="s">
        <v>1808</v>
      </c>
      <c r="F60" s="62">
        <v>848.51207121657433</v>
      </c>
      <c r="G60" s="62" t="s">
        <v>1808</v>
      </c>
      <c r="H60" s="62">
        <v>37.009495889669161</v>
      </c>
      <c r="I60" s="62" t="s">
        <v>1807</v>
      </c>
      <c r="J60" s="62">
        <v>129.11899078869854</v>
      </c>
      <c r="K60" s="62" t="s">
        <v>1807</v>
      </c>
      <c r="L60" s="62">
        <v>1.8168991179776668</v>
      </c>
      <c r="M60" s="62" t="s">
        <v>1808</v>
      </c>
      <c r="N60" s="62">
        <v>3.6751728898224235E-2</v>
      </c>
      <c r="O60" s="62" t="s">
        <v>1908</v>
      </c>
      <c r="P60" s="62">
        <v>19.133394254886042</v>
      </c>
      <c r="Q60" s="62" t="s">
        <v>1908</v>
      </c>
      <c r="R60" s="62">
        <v>1.2970857848596271</v>
      </c>
      <c r="S60" s="62" t="s">
        <v>1908</v>
      </c>
      <c r="T60" s="62">
        <v>8.5826512481121581E-2</v>
      </c>
      <c r="U60" s="62" t="s">
        <v>1908</v>
      </c>
      <c r="V60" s="62">
        <v>16.560260108589596</v>
      </c>
      <c r="W60" s="10" t="s">
        <v>1908</v>
      </c>
    </row>
    <row r="61" spans="2:23" ht="25.2" customHeight="1" x14ac:dyDescent="0.3">
      <c r="B61" s="16" t="s">
        <v>1022</v>
      </c>
      <c r="C61" s="18">
        <v>500</v>
      </c>
      <c r="D61" s="62">
        <v>163.03105441413933</v>
      </c>
      <c r="E61" s="62" t="s">
        <v>1808</v>
      </c>
      <c r="F61" s="62">
        <v>816.4407331181859</v>
      </c>
      <c r="G61" s="62" t="s">
        <v>1808</v>
      </c>
      <c r="H61" s="62">
        <v>100.01992071842091</v>
      </c>
      <c r="I61" s="62" t="s">
        <v>1808</v>
      </c>
      <c r="J61" s="62">
        <v>295.634757064165</v>
      </c>
      <c r="K61" s="62" t="s">
        <v>1807</v>
      </c>
      <c r="L61" s="62">
        <v>1.5582784830261018</v>
      </c>
      <c r="M61" s="62" t="s">
        <v>1808</v>
      </c>
      <c r="N61" s="62">
        <v>1.7593214837543659E-2</v>
      </c>
      <c r="O61" s="62" t="s">
        <v>1908</v>
      </c>
      <c r="P61" s="62">
        <v>9.601835977408717</v>
      </c>
      <c r="Q61" s="62" t="s">
        <v>1908</v>
      </c>
      <c r="R61" s="62">
        <v>1.2880092993211312</v>
      </c>
      <c r="S61" s="62" t="s">
        <v>1908</v>
      </c>
      <c r="T61" s="62">
        <v>0.20259545157000408</v>
      </c>
      <c r="U61" s="62" t="s">
        <v>1908</v>
      </c>
      <c r="V61" s="62">
        <v>43.446456110542591</v>
      </c>
      <c r="W61" s="10" t="s">
        <v>1807</v>
      </c>
    </row>
    <row r="62" spans="2:23" ht="25.2" customHeight="1" x14ac:dyDescent="0.3">
      <c r="B62" s="16" t="s">
        <v>1023</v>
      </c>
      <c r="C62" s="17">
        <v>100</v>
      </c>
      <c r="D62" s="62">
        <v>74.447749499048626</v>
      </c>
      <c r="E62" s="62" t="s">
        <v>1807</v>
      </c>
      <c r="F62" s="62">
        <v>347.61560829412684</v>
      </c>
      <c r="G62" s="62" t="s">
        <v>1808</v>
      </c>
      <c r="H62" s="62">
        <v>620.11773202724578</v>
      </c>
      <c r="I62" s="62" t="s">
        <v>1808</v>
      </c>
      <c r="J62" s="62">
        <v>627.57164175686285</v>
      </c>
      <c r="K62" s="62" t="s">
        <v>1808</v>
      </c>
      <c r="L62" s="62">
        <v>1.3878813565817518</v>
      </c>
      <c r="M62" s="62" t="s">
        <v>1807</v>
      </c>
      <c r="N62" s="62">
        <v>0.32943397564441956</v>
      </c>
      <c r="O62" s="62" t="s">
        <v>1807</v>
      </c>
      <c r="P62" s="62">
        <v>66.989337340479892</v>
      </c>
      <c r="Q62" s="62" t="s">
        <v>1807</v>
      </c>
      <c r="R62" s="62">
        <v>2.997208783384635</v>
      </c>
      <c r="S62" s="62" t="s">
        <v>1807</v>
      </c>
      <c r="T62" s="62">
        <v>0.33018956998389609</v>
      </c>
      <c r="U62" s="62" t="s">
        <v>1908</v>
      </c>
      <c r="V62" s="62">
        <v>244.58549519422488</v>
      </c>
      <c r="W62" s="10" t="s">
        <v>1808</v>
      </c>
    </row>
    <row r="63" spans="2:23" ht="25.2" customHeight="1" x14ac:dyDescent="0.3">
      <c r="B63" s="16" t="s">
        <v>1023</v>
      </c>
      <c r="C63" s="18">
        <v>200</v>
      </c>
      <c r="D63" s="62">
        <v>167.85778094844071</v>
      </c>
      <c r="E63" s="62" t="s">
        <v>1808</v>
      </c>
      <c r="F63" s="62">
        <v>846.04489799254782</v>
      </c>
      <c r="G63" s="62" t="s">
        <v>1808</v>
      </c>
      <c r="H63" s="62">
        <v>12.566411952177235</v>
      </c>
      <c r="I63" s="62" t="s">
        <v>1908</v>
      </c>
      <c r="J63" s="62">
        <v>108.885269226551</v>
      </c>
      <c r="K63" s="62" t="s">
        <v>1807</v>
      </c>
      <c r="L63" s="62">
        <v>1.4523553834690834</v>
      </c>
      <c r="M63" s="62" t="s">
        <v>1807</v>
      </c>
      <c r="N63" s="62">
        <v>1.0996666605688286E-2</v>
      </c>
      <c r="O63" s="62" t="s">
        <v>1908</v>
      </c>
      <c r="P63" s="62">
        <v>18.448061890077753</v>
      </c>
      <c r="Q63" s="62" t="s">
        <v>1908</v>
      </c>
      <c r="R63" s="62">
        <v>4.3901383386244852</v>
      </c>
      <c r="S63" s="62" t="s">
        <v>1807</v>
      </c>
      <c r="T63" s="62">
        <v>0.11078128498523511</v>
      </c>
      <c r="U63" s="62" t="s">
        <v>1908</v>
      </c>
      <c r="V63" s="62">
        <v>2.6892426663884632</v>
      </c>
      <c r="W63" s="10" t="s">
        <v>1908</v>
      </c>
    </row>
    <row r="64" spans="2:23" ht="25.2" customHeight="1" x14ac:dyDescent="0.3">
      <c r="B64" s="16" t="s">
        <v>1023</v>
      </c>
      <c r="C64" s="18">
        <v>300</v>
      </c>
      <c r="D64" s="62">
        <v>244.00733573665204</v>
      </c>
      <c r="E64" s="62" t="s">
        <v>1808</v>
      </c>
      <c r="F64" s="62">
        <v>1202.0425984461142</v>
      </c>
      <c r="G64" s="62" t="s">
        <v>1808</v>
      </c>
      <c r="H64" s="62">
        <v>30.34242861769474</v>
      </c>
      <c r="I64" s="62" t="s">
        <v>1807</v>
      </c>
      <c r="J64" s="62">
        <v>158.22432960644676</v>
      </c>
      <c r="K64" s="62" t="s">
        <v>1807</v>
      </c>
      <c r="L64" s="62">
        <v>1.7653586981763929</v>
      </c>
      <c r="M64" s="62" t="s">
        <v>1808</v>
      </c>
      <c r="N64" s="62">
        <v>9.8469414445266745E-2</v>
      </c>
      <c r="O64" s="62" t="s">
        <v>1908</v>
      </c>
      <c r="P64" s="62">
        <v>15.87304535551786</v>
      </c>
      <c r="Q64" s="62" t="s">
        <v>1908</v>
      </c>
      <c r="R64" s="62">
        <v>6.0692508384783581</v>
      </c>
      <c r="S64" s="62" t="s">
        <v>1808</v>
      </c>
      <c r="T64" s="62">
        <v>0.14762062537127796</v>
      </c>
      <c r="U64" s="62" t="s">
        <v>1908</v>
      </c>
      <c r="V64" s="62">
        <v>10.096651172406419</v>
      </c>
      <c r="W64" s="10" t="s">
        <v>1908</v>
      </c>
    </row>
    <row r="65" spans="2:23" ht="25.2" customHeight="1" x14ac:dyDescent="0.3">
      <c r="B65" s="16" t="s">
        <v>1023</v>
      </c>
      <c r="C65" s="17">
        <v>400</v>
      </c>
      <c r="D65" s="62">
        <v>241.43445276986094</v>
      </c>
      <c r="E65" s="62" t="s">
        <v>1808</v>
      </c>
      <c r="F65" s="62">
        <v>1353.4886684342127</v>
      </c>
      <c r="G65" s="62" t="s">
        <v>1808</v>
      </c>
      <c r="H65" s="62">
        <v>37.489715915607924</v>
      </c>
      <c r="I65" s="62" t="s">
        <v>1807</v>
      </c>
      <c r="J65" s="62">
        <v>177.02770258514892</v>
      </c>
      <c r="K65" s="62" t="s">
        <v>1807</v>
      </c>
      <c r="L65" s="62">
        <v>1.8169617733235679</v>
      </c>
      <c r="M65" s="62" t="s">
        <v>1808</v>
      </c>
      <c r="N65" s="62">
        <v>3.299640158373969E-2</v>
      </c>
      <c r="O65" s="62" t="s">
        <v>1908</v>
      </c>
      <c r="P65" s="62">
        <v>9.9499375094026412</v>
      </c>
      <c r="Q65" s="62" t="s">
        <v>1908</v>
      </c>
      <c r="R65" s="62">
        <v>6.9911307376622718</v>
      </c>
      <c r="S65" s="62" t="s">
        <v>1808</v>
      </c>
      <c r="T65" s="62">
        <v>0.36256212023101231</v>
      </c>
      <c r="U65" s="62" t="s">
        <v>1908</v>
      </c>
      <c r="V65" s="62">
        <v>11.729009953930849</v>
      </c>
      <c r="W65" s="10" t="s">
        <v>1908</v>
      </c>
    </row>
    <row r="66" spans="2:23" ht="25.2" customHeight="1" x14ac:dyDescent="0.3">
      <c r="B66" s="16" t="s">
        <v>1023</v>
      </c>
      <c r="C66" s="18">
        <v>500</v>
      </c>
      <c r="D66" s="62">
        <v>186.77371274327436</v>
      </c>
      <c r="E66" s="62" t="s">
        <v>1808</v>
      </c>
      <c r="F66" s="62">
        <v>1097.7104657073705</v>
      </c>
      <c r="G66" s="62" t="s">
        <v>1808</v>
      </c>
      <c r="H66" s="62">
        <v>9.9757260632713702</v>
      </c>
      <c r="I66" s="62" t="s">
        <v>1908</v>
      </c>
      <c r="J66" s="62">
        <v>161.29055138741219</v>
      </c>
      <c r="K66" s="62" t="s">
        <v>1807</v>
      </c>
      <c r="L66" s="62">
        <v>1.9036095051900574</v>
      </c>
      <c r="M66" s="62" t="s">
        <v>1808</v>
      </c>
      <c r="N66" s="62">
        <v>2.7046652965157441E-2</v>
      </c>
      <c r="O66" s="62" t="s">
        <v>1908</v>
      </c>
      <c r="P66" s="62">
        <v>9.5365179751576665</v>
      </c>
      <c r="Q66" s="62" t="s">
        <v>1908</v>
      </c>
      <c r="R66" s="62">
        <v>7.0775130186278634</v>
      </c>
      <c r="S66" s="62" t="s">
        <v>1808</v>
      </c>
      <c r="T66" s="62">
        <v>4.091774455188911E-2</v>
      </c>
      <c r="U66" s="62" t="s">
        <v>1908</v>
      </c>
      <c r="V66" s="62">
        <v>6.0963377590084518</v>
      </c>
      <c r="W66" s="10" t="s">
        <v>1908</v>
      </c>
    </row>
    <row r="67" spans="2:23" ht="25.2" customHeight="1" x14ac:dyDescent="0.3">
      <c r="B67" s="16" t="s">
        <v>1025</v>
      </c>
      <c r="C67" s="17">
        <v>100</v>
      </c>
      <c r="D67" s="62">
        <v>18.545271284964709</v>
      </c>
      <c r="E67" s="62" t="s">
        <v>1908</v>
      </c>
      <c r="F67" s="62">
        <v>44.405600710120993</v>
      </c>
      <c r="G67" s="62" t="s">
        <v>1808</v>
      </c>
      <c r="H67" s="62">
        <v>6.7291438418799379</v>
      </c>
      <c r="I67" s="62" t="s">
        <v>1908</v>
      </c>
      <c r="J67" s="62">
        <v>26.659003076007512</v>
      </c>
      <c r="K67" s="62" t="s">
        <v>1908</v>
      </c>
      <c r="L67" s="62">
        <v>0.87619055702450166</v>
      </c>
      <c r="M67" s="62" t="s">
        <v>1807</v>
      </c>
      <c r="N67" s="62">
        <v>2.0883112162539363E-2</v>
      </c>
      <c r="O67" s="62" t="s">
        <v>1908</v>
      </c>
      <c r="P67" s="62">
        <v>9.3289642929242262</v>
      </c>
      <c r="Q67" s="62" t="s">
        <v>1908</v>
      </c>
      <c r="R67" s="62">
        <v>375.06526091818125</v>
      </c>
      <c r="S67" s="62" t="s">
        <v>1808</v>
      </c>
      <c r="T67" s="62" t="s">
        <v>1907</v>
      </c>
      <c r="U67" s="62" t="s">
        <v>1808</v>
      </c>
      <c r="V67" s="62">
        <v>1.8351246590013401</v>
      </c>
      <c r="W67" s="10" t="s">
        <v>1908</v>
      </c>
    </row>
    <row r="68" spans="2:23" ht="25.2" customHeight="1" x14ac:dyDescent="0.3">
      <c r="B68" s="16" t="s">
        <v>1025</v>
      </c>
      <c r="C68" s="18">
        <v>200</v>
      </c>
      <c r="D68" s="62">
        <v>73.738265416153467</v>
      </c>
      <c r="E68" s="62" t="s">
        <v>1807</v>
      </c>
      <c r="F68" s="62">
        <v>119.27764839955675</v>
      </c>
      <c r="G68" s="62" t="s">
        <v>1808</v>
      </c>
      <c r="H68" s="62">
        <v>13.495829787713015</v>
      </c>
      <c r="I68" s="62" t="s">
        <v>1908</v>
      </c>
      <c r="J68" s="62">
        <v>15.327545995736735</v>
      </c>
      <c r="K68" s="62" t="s">
        <v>1908</v>
      </c>
      <c r="L68" s="62">
        <v>0.9091280953003219</v>
      </c>
      <c r="M68" s="62" t="s">
        <v>1807</v>
      </c>
      <c r="N68" s="62">
        <v>1.4453046544092811E-2</v>
      </c>
      <c r="O68" s="62" t="s">
        <v>1908</v>
      </c>
      <c r="P68" s="62">
        <v>4.1201318525595152</v>
      </c>
      <c r="Q68" s="62" t="s">
        <v>1908</v>
      </c>
      <c r="R68" s="62">
        <v>596.75751735627887</v>
      </c>
      <c r="S68" s="62" t="s">
        <v>1808</v>
      </c>
      <c r="T68" s="62">
        <v>5.4431366992197406E-3</v>
      </c>
      <c r="U68" s="62" t="s">
        <v>1908</v>
      </c>
      <c r="V68" s="62">
        <v>2.3686766360323102</v>
      </c>
      <c r="W68" s="10" t="s">
        <v>1908</v>
      </c>
    </row>
    <row r="69" spans="2:23" ht="25.2" customHeight="1" x14ac:dyDescent="0.3">
      <c r="B69" s="16" t="s">
        <v>1025</v>
      </c>
      <c r="C69" s="18">
        <v>300</v>
      </c>
      <c r="D69" s="62">
        <v>169.91129320802352</v>
      </c>
      <c r="E69" s="62" t="s">
        <v>1808</v>
      </c>
      <c r="F69" s="62">
        <v>251.37030965154611</v>
      </c>
      <c r="G69" s="62" t="s">
        <v>1808</v>
      </c>
      <c r="H69" s="62">
        <v>29.627505378369989</v>
      </c>
      <c r="I69" s="62" t="s">
        <v>1807</v>
      </c>
      <c r="J69" s="62">
        <v>27.719629159439286</v>
      </c>
      <c r="K69" s="62" t="s">
        <v>1908</v>
      </c>
      <c r="L69" s="62">
        <v>1.2402887429731257</v>
      </c>
      <c r="M69" s="62" t="s">
        <v>1807</v>
      </c>
      <c r="N69" s="62">
        <v>6.9922661351156754E-2</v>
      </c>
      <c r="O69" s="62" t="s">
        <v>1908</v>
      </c>
      <c r="P69" s="62">
        <v>5.2975915469818844</v>
      </c>
      <c r="Q69" s="62" t="s">
        <v>1908</v>
      </c>
      <c r="R69" s="62">
        <v>654.21474890566788</v>
      </c>
      <c r="S69" s="62" t="s">
        <v>1808</v>
      </c>
      <c r="T69" s="62">
        <v>4.4094595749159311E-2</v>
      </c>
      <c r="U69" s="62" t="s">
        <v>1908</v>
      </c>
      <c r="V69" s="62">
        <v>7.234908384634295</v>
      </c>
      <c r="W69" s="10" t="s">
        <v>1908</v>
      </c>
    </row>
    <row r="70" spans="2:23" ht="25.2" customHeight="1" x14ac:dyDescent="0.3">
      <c r="B70" s="16" t="s">
        <v>1025</v>
      </c>
      <c r="C70" s="17">
        <v>400</v>
      </c>
      <c r="D70" s="62">
        <v>175.17044363904543</v>
      </c>
      <c r="E70" s="62" t="s">
        <v>1808</v>
      </c>
      <c r="F70" s="62">
        <v>243.64397257392886</v>
      </c>
      <c r="G70" s="62" t="s">
        <v>1808</v>
      </c>
      <c r="H70" s="62">
        <v>20.599987896937652</v>
      </c>
      <c r="I70" s="62" t="s">
        <v>1908</v>
      </c>
      <c r="J70" s="62">
        <v>17.682726637379879</v>
      </c>
      <c r="K70" s="62" t="s">
        <v>1908</v>
      </c>
      <c r="L70" s="62">
        <v>1.0002862573596112</v>
      </c>
      <c r="M70" s="62" t="s">
        <v>1807</v>
      </c>
      <c r="N70" s="62">
        <v>1.6034608923374303E-2</v>
      </c>
      <c r="O70" s="62" t="s">
        <v>1908</v>
      </c>
      <c r="P70" s="62">
        <v>4.1799541269489033</v>
      </c>
      <c r="Q70" s="62" t="s">
        <v>1908</v>
      </c>
      <c r="R70" s="62">
        <v>587.4747595667917</v>
      </c>
      <c r="S70" s="62" t="s">
        <v>1808</v>
      </c>
      <c r="T70" s="62" t="s">
        <v>1907</v>
      </c>
      <c r="U70" s="62" t="s">
        <v>1808</v>
      </c>
      <c r="V70" s="62">
        <v>6.2787771697603274</v>
      </c>
      <c r="W70" s="10" t="s">
        <v>1908</v>
      </c>
    </row>
    <row r="71" spans="2:23" ht="25.2" customHeight="1" x14ac:dyDescent="0.3">
      <c r="B71" s="16" t="s">
        <v>1025</v>
      </c>
      <c r="C71" s="18">
        <v>500</v>
      </c>
      <c r="D71" s="62">
        <v>197.34705285854713</v>
      </c>
      <c r="E71" s="62" t="s">
        <v>1808</v>
      </c>
      <c r="F71" s="62">
        <v>291.72145728359618</v>
      </c>
      <c r="G71" s="62" t="s">
        <v>1808</v>
      </c>
      <c r="H71" s="62">
        <v>22.073663904760078</v>
      </c>
      <c r="I71" s="62" t="s">
        <v>1908</v>
      </c>
      <c r="J71" s="62">
        <v>15.227531821127556</v>
      </c>
      <c r="K71" s="62" t="s">
        <v>1908</v>
      </c>
      <c r="L71" s="62">
        <v>1.1293182928753793</v>
      </c>
      <c r="M71" s="62" t="s">
        <v>1807</v>
      </c>
      <c r="N71" s="62">
        <v>7.8857068847577368E-3</v>
      </c>
      <c r="O71" s="62" t="s">
        <v>1908</v>
      </c>
      <c r="P71" s="62">
        <v>23.453641838071384</v>
      </c>
      <c r="Q71" s="62" t="s">
        <v>1908</v>
      </c>
      <c r="R71" s="62">
        <v>664.21004208541126</v>
      </c>
      <c r="S71" s="62" t="s">
        <v>1808</v>
      </c>
      <c r="T71" s="62">
        <v>1.2149368069376353E-2</v>
      </c>
      <c r="U71" s="62" t="s">
        <v>1908</v>
      </c>
      <c r="V71" s="62">
        <v>6.4547638193987886</v>
      </c>
      <c r="W71" s="10" t="s">
        <v>1908</v>
      </c>
    </row>
    <row r="72" spans="2:23" ht="25.2" customHeight="1" x14ac:dyDescent="0.3">
      <c r="B72" s="16" t="s">
        <v>1025</v>
      </c>
      <c r="C72" s="17">
        <v>600</v>
      </c>
      <c r="D72" s="62">
        <v>91.061734727099378</v>
      </c>
      <c r="E72" s="62" t="s">
        <v>1808</v>
      </c>
      <c r="F72" s="62">
        <v>152.68458294700378</v>
      </c>
      <c r="G72" s="62" t="s">
        <v>1808</v>
      </c>
      <c r="H72" s="62">
        <v>78.615121015959019</v>
      </c>
      <c r="I72" s="62" t="s">
        <v>1807</v>
      </c>
      <c r="J72" s="62">
        <v>105.66182357963547</v>
      </c>
      <c r="K72" s="62" t="s">
        <v>1807</v>
      </c>
      <c r="L72" s="62">
        <v>1.1728013209021864</v>
      </c>
      <c r="M72" s="62" t="s">
        <v>1807</v>
      </c>
      <c r="N72" s="62">
        <v>0.1688081269073779</v>
      </c>
      <c r="O72" s="62" t="s">
        <v>1807</v>
      </c>
      <c r="P72" s="62">
        <v>8.7902963054414318</v>
      </c>
      <c r="Q72" s="62" t="s">
        <v>1908</v>
      </c>
      <c r="R72" s="62">
        <v>751.58874758994932</v>
      </c>
      <c r="S72" s="62" t="s">
        <v>1808</v>
      </c>
      <c r="T72" s="62">
        <v>9.2472797295802406E-2</v>
      </c>
      <c r="U72" s="62" t="s">
        <v>1908</v>
      </c>
      <c r="V72" s="62">
        <v>21.541788033451343</v>
      </c>
      <c r="W72" s="10" t="s">
        <v>1807</v>
      </c>
    </row>
    <row r="73" spans="2:23" ht="25.2" customHeight="1" x14ac:dyDescent="0.3">
      <c r="B73" s="16" t="s">
        <v>1025</v>
      </c>
      <c r="C73" s="18">
        <v>700</v>
      </c>
      <c r="D73" s="62">
        <v>99.15483840962942</v>
      </c>
      <c r="E73" s="62" t="s">
        <v>1808</v>
      </c>
      <c r="F73" s="62">
        <v>153.40985112321385</v>
      </c>
      <c r="G73" s="62" t="s">
        <v>1808</v>
      </c>
      <c r="H73" s="62">
        <v>16.39817224856251</v>
      </c>
      <c r="I73" s="62" t="s">
        <v>1908</v>
      </c>
      <c r="J73" s="62">
        <v>71.378742190781949</v>
      </c>
      <c r="K73" s="62" t="s">
        <v>1908</v>
      </c>
      <c r="L73" s="62">
        <v>1.1782684528521241</v>
      </c>
      <c r="M73" s="62" t="s">
        <v>1807</v>
      </c>
      <c r="N73" s="62">
        <v>0.15027784957740711</v>
      </c>
      <c r="O73" s="62" t="s">
        <v>1908</v>
      </c>
      <c r="P73" s="62">
        <v>4.1866941994190956</v>
      </c>
      <c r="Q73" s="62" t="s">
        <v>1908</v>
      </c>
      <c r="R73" s="62">
        <v>662.59573251675465</v>
      </c>
      <c r="S73" s="62" t="s">
        <v>1808</v>
      </c>
      <c r="T73" s="62">
        <v>6.294523021715287E-2</v>
      </c>
      <c r="U73" s="62" t="s">
        <v>1908</v>
      </c>
      <c r="V73" s="62">
        <v>4.4120921592445459</v>
      </c>
      <c r="W73" s="10" t="s">
        <v>1908</v>
      </c>
    </row>
    <row r="74" spans="2:23" ht="25.2" customHeight="1" x14ac:dyDescent="0.3">
      <c r="B74" s="16" t="s">
        <v>1025</v>
      </c>
      <c r="C74" s="17">
        <v>800</v>
      </c>
      <c r="D74" s="62">
        <v>208.45994608340575</v>
      </c>
      <c r="E74" s="62" t="s">
        <v>1808</v>
      </c>
      <c r="F74" s="62">
        <v>305.28371589619201</v>
      </c>
      <c r="G74" s="62" t="s">
        <v>1808</v>
      </c>
      <c r="H74" s="62">
        <v>14.78754179542182</v>
      </c>
      <c r="I74" s="62" t="s">
        <v>1908</v>
      </c>
      <c r="J74" s="62">
        <v>73.056554032822646</v>
      </c>
      <c r="K74" s="62" t="s">
        <v>1908</v>
      </c>
      <c r="L74" s="62">
        <v>1.3132335573249108</v>
      </c>
      <c r="M74" s="62" t="s">
        <v>1807</v>
      </c>
      <c r="N74" s="62">
        <v>9.8832087699013471E-2</v>
      </c>
      <c r="O74" s="62" t="s">
        <v>1908</v>
      </c>
      <c r="P74" s="62">
        <v>54.266080927413036</v>
      </c>
      <c r="Q74" s="62" t="s">
        <v>1908</v>
      </c>
      <c r="R74" s="62">
        <v>1024.1573778409904</v>
      </c>
      <c r="S74" s="62" t="s">
        <v>1808</v>
      </c>
      <c r="T74" s="62">
        <v>9.5869011638315432E-2</v>
      </c>
      <c r="U74" s="62" t="s">
        <v>1908</v>
      </c>
      <c r="V74" s="62">
        <v>1.9966000991536632</v>
      </c>
      <c r="W74" s="10" t="s">
        <v>1908</v>
      </c>
    </row>
    <row r="75" spans="2:23" ht="25.2" customHeight="1" x14ac:dyDescent="0.3">
      <c r="B75" s="16" t="s">
        <v>1025</v>
      </c>
      <c r="C75" s="18">
        <v>900</v>
      </c>
      <c r="D75" s="62">
        <v>363.91482320914639</v>
      </c>
      <c r="E75" s="62" t="s">
        <v>1808</v>
      </c>
      <c r="F75" s="62">
        <v>511.1212851031122</v>
      </c>
      <c r="G75" s="62" t="s">
        <v>1808</v>
      </c>
      <c r="H75" s="62">
        <v>60.609184121990019</v>
      </c>
      <c r="I75" s="62" t="s">
        <v>1807</v>
      </c>
      <c r="J75" s="62">
        <v>81.446482636415411</v>
      </c>
      <c r="K75" s="62" t="s">
        <v>1908</v>
      </c>
      <c r="L75" s="62">
        <v>1.411514887289415</v>
      </c>
      <c r="M75" s="62" t="s">
        <v>1807</v>
      </c>
      <c r="N75" s="62">
        <v>0.10101935808169162</v>
      </c>
      <c r="O75" s="62" t="s">
        <v>1908</v>
      </c>
      <c r="P75" s="62">
        <v>36.10438958732658</v>
      </c>
      <c r="Q75" s="62" t="s">
        <v>1908</v>
      </c>
      <c r="R75" s="62">
        <v>1255.8064514666867</v>
      </c>
      <c r="S75" s="62" t="s">
        <v>1808</v>
      </c>
      <c r="T75" s="62">
        <v>9.735553691448777E-2</v>
      </c>
      <c r="U75" s="62" t="s">
        <v>1908</v>
      </c>
      <c r="V75" s="62">
        <v>15.522573287433922</v>
      </c>
      <c r="W75" s="10" t="s">
        <v>1908</v>
      </c>
    </row>
    <row r="76" spans="2:23" ht="25.2" customHeight="1" x14ac:dyDescent="0.3">
      <c r="B76" s="16" t="s">
        <v>1025</v>
      </c>
      <c r="C76" s="17">
        <v>1000</v>
      </c>
      <c r="D76" s="62">
        <v>1236.2878037049668</v>
      </c>
      <c r="E76" s="62" t="s">
        <v>1808</v>
      </c>
      <c r="F76" s="62">
        <v>1711.2899223518841</v>
      </c>
      <c r="G76" s="62" t="s">
        <v>1808</v>
      </c>
      <c r="H76" s="62">
        <v>170.20442316391811</v>
      </c>
      <c r="I76" s="62" t="s">
        <v>1808</v>
      </c>
      <c r="J76" s="62">
        <v>117.60695192559115</v>
      </c>
      <c r="K76" s="62" t="s">
        <v>1807</v>
      </c>
      <c r="L76" s="62">
        <v>1.858184908500915</v>
      </c>
      <c r="M76" s="62" t="s">
        <v>1808</v>
      </c>
      <c r="N76" s="62">
        <v>0.30398482899119644</v>
      </c>
      <c r="O76" s="62" t="s">
        <v>1807</v>
      </c>
      <c r="P76" s="62">
        <v>30.259439941610221</v>
      </c>
      <c r="Q76" s="62" t="s">
        <v>1908</v>
      </c>
      <c r="R76" s="62">
        <v>2297.8342630106754</v>
      </c>
      <c r="S76" s="62" t="s">
        <v>1808</v>
      </c>
      <c r="T76" s="62">
        <v>0.12163378895668177</v>
      </c>
      <c r="U76" s="62" t="s">
        <v>1908</v>
      </c>
      <c r="V76" s="62">
        <v>32.035144556730359</v>
      </c>
      <c r="W76" s="10" t="s">
        <v>1807</v>
      </c>
    </row>
    <row r="77" spans="2:23" ht="25.2" customHeight="1" x14ac:dyDescent="0.3">
      <c r="B77" s="16" t="s">
        <v>1025</v>
      </c>
      <c r="C77" s="18">
        <v>1100</v>
      </c>
      <c r="D77" s="62">
        <v>656.49690898531503</v>
      </c>
      <c r="E77" s="62" t="s">
        <v>1808</v>
      </c>
      <c r="F77" s="62">
        <v>1096.4942750987288</v>
      </c>
      <c r="G77" s="62" t="s">
        <v>1808</v>
      </c>
      <c r="H77" s="62">
        <v>51.752537564338525</v>
      </c>
      <c r="I77" s="62" t="s">
        <v>1807</v>
      </c>
      <c r="J77" s="62">
        <v>77.900250113540466</v>
      </c>
      <c r="K77" s="62" t="s">
        <v>1908</v>
      </c>
      <c r="L77" s="62">
        <v>1.4419723714626127</v>
      </c>
      <c r="M77" s="62" t="s">
        <v>1807</v>
      </c>
      <c r="N77" s="62">
        <v>0.21877671169280921</v>
      </c>
      <c r="O77" s="62" t="s">
        <v>1807</v>
      </c>
      <c r="P77" s="62">
        <v>11.237696530770497</v>
      </c>
      <c r="Q77" s="62" t="s">
        <v>1908</v>
      </c>
      <c r="R77" s="62">
        <v>2083.1612836567401</v>
      </c>
      <c r="S77" s="62" t="s">
        <v>1808</v>
      </c>
      <c r="T77" s="62">
        <v>0.16218817623222898</v>
      </c>
      <c r="U77" s="62" t="s">
        <v>1908</v>
      </c>
      <c r="V77" s="62" t="s">
        <v>1907</v>
      </c>
      <c r="W77" s="10" t="s">
        <v>1808</v>
      </c>
    </row>
    <row r="78" spans="2:23" ht="25.2" customHeight="1" x14ac:dyDescent="0.3">
      <c r="B78" s="16" t="s">
        <v>1025</v>
      </c>
      <c r="C78" s="17">
        <v>1200</v>
      </c>
      <c r="D78" s="62">
        <v>279.44094738274259</v>
      </c>
      <c r="E78" s="62" t="s">
        <v>1808</v>
      </c>
      <c r="F78" s="62">
        <v>546.78343997595994</v>
      </c>
      <c r="G78" s="62" t="s">
        <v>1808</v>
      </c>
      <c r="H78" s="62">
        <v>49.846106913035023</v>
      </c>
      <c r="I78" s="62" t="s">
        <v>1807</v>
      </c>
      <c r="J78" s="62">
        <v>85.470409412567903</v>
      </c>
      <c r="K78" s="62" t="s">
        <v>1908</v>
      </c>
      <c r="L78" s="62">
        <v>1.4453892450854604</v>
      </c>
      <c r="M78" s="62" t="s">
        <v>1807</v>
      </c>
      <c r="N78" s="62">
        <v>0.15282424921945378</v>
      </c>
      <c r="O78" s="62" t="s">
        <v>1908</v>
      </c>
      <c r="P78" s="62">
        <v>23.698904963765848</v>
      </c>
      <c r="Q78" s="62" t="s">
        <v>1908</v>
      </c>
      <c r="R78" s="62">
        <v>1747.303815785677</v>
      </c>
      <c r="S78" s="62" t="s">
        <v>1808</v>
      </c>
      <c r="T78" s="62">
        <v>0.17776626356080102</v>
      </c>
      <c r="U78" s="62" t="s">
        <v>1908</v>
      </c>
      <c r="V78" s="62">
        <v>1.6762857727742064</v>
      </c>
      <c r="W78" s="10" t="s">
        <v>1908</v>
      </c>
    </row>
    <row r="79" spans="2:23" ht="25.2" customHeight="1" x14ac:dyDescent="0.3">
      <c r="B79" s="16" t="s">
        <v>1025</v>
      </c>
      <c r="C79" s="18">
        <v>1300</v>
      </c>
      <c r="D79" s="62">
        <v>94.886904697846404</v>
      </c>
      <c r="E79" s="62" t="s">
        <v>1808</v>
      </c>
      <c r="F79" s="62">
        <v>975.85769632194229</v>
      </c>
      <c r="G79" s="62" t="s">
        <v>1808</v>
      </c>
      <c r="H79" s="62">
        <v>104.53295674680577</v>
      </c>
      <c r="I79" s="62" t="s">
        <v>1808</v>
      </c>
      <c r="J79" s="62">
        <v>91.957297258209863</v>
      </c>
      <c r="K79" s="62" t="s">
        <v>1908</v>
      </c>
      <c r="L79" s="62">
        <v>1.1783542411051999</v>
      </c>
      <c r="M79" s="62" t="s">
        <v>1807</v>
      </c>
      <c r="N79" s="62">
        <v>0.22674825549134223</v>
      </c>
      <c r="O79" s="62" t="s">
        <v>1807</v>
      </c>
      <c r="P79" s="62">
        <v>88.293603814102639</v>
      </c>
      <c r="Q79" s="62" t="s">
        <v>1807</v>
      </c>
      <c r="R79" s="62">
        <v>1004.3751045336103</v>
      </c>
      <c r="S79" s="62" t="s">
        <v>1808</v>
      </c>
      <c r="T79" s="62">
        <v>0.3160865228440114</v>
      </c>
      <c r="U79" s="62" t="s">
        <v>1908</v>
      </c>
      <c r="V79" s="62" t="s">
        <v>1907</v>
      </c>
      <c r="W79" s="10" t="s">
        <v>1808</v>
      </c>
    </row>
    <row r="80" spans="2:23" ht="25.2" customHeight="1" x14ac:dyDescent="0.3">
      <c r="B80" s="16" t="s">
        <v>1025</v>
      </c>
      <c r="C80" s="17">
        <v>1400</v>
      </c>
      <c r="D80" s="62" t="s">
        <v>1907</v>
      </c>
      <c r="E80" s="62" t="s">
        <v>1808</v>
      </c>
      <c r="F80" s="62">
        <v>497.19836369180661</v>
      </c>
      <c r="G80" s="62" t="s">
        <v>1808</v>
      </c>
      <c r="H80" s="62">
        <v>16.909439795776873</v>
      </c>
      <c r="I80" s="62" t="s">
        <v>1908</v>
      </c>
      <c r="J80" s="62">
        <v>844.93165633416947</v>
      </c>
      <c r="K80" s="62" t="s">
        <v>1808</v>
      </c>
      <c r="L80" s="62">
        <v>9.5388923815812916</v>
      </c>
      <c r="M80" s="62" t="s">
        <v>1808</v>
      </c>
      <c r="N80" s="62">
        <v>0.21859455902760974</v>
      </c>
      <c r="O80" s="62" t="s">
        <v>1807</v>
      </c>
      <c r="P80" s="62" t="s">
        <v>1907</v>
      </c>
      <c r="Q80" s="62" t="s">
        <v>1808</v>
      </c>
      <c r="R80" s="62">
        <v>588.31698559515269</v>
      </c>
      <c r="S80" s="62" t="s">
        <v>1808</v>
      </c>
      <c r="T80" s="62" t="s">
        <v>1907</v>
      </c>
      <c r="U80" s="62" t="s">
        <v>1808</v>
      </c>
      <c r="V80" s="62" t="s">
        <v>1907</v>
      </c>
      <c r="W80" s="10" t="s">
        <v>1808</v>
      </c>
    </row>
    <row r="81" spans="2:23" ht="25.2" customHeight="1" x14ac:dyDescent="0.3">
      <c r="B81" s="16" t="s">
        <v>1026</v>
      </c>
      <c r="C81" s="17">
        <v>100</v>
      </c>
      <c r="D81" s="62">
        <v>2.9837310935961923</v>
      </c>
      <c r="E81" s="62" t="s">
        <v>1908</v>
      </c>
      <c r="F81" s="62">
        <v>31.663725886238154</v>
      </c>
      <c r="G81" s="62" t="s">
        <v>1807</v>
      </c>
      <c r="H81" s="62">
        <v>54.437090640338567</v>
      </c>
      <c r="I81" s="62" t="s">
        <v>1807</v>
      </c>
      <c r="J81" s="62">
        <v>120.40842310449936</v>
      </c>
      <c r="K81" s="62" t="s">
        <v>1807</v>
      </c>
      <c r="L81" s="62">
        <v>1.0270532969336981</v>
      </c>
      <c r="M81" s="62" t="s">
        <v>1807</v>
      </c>
      <c r="N81" s="62">
        <v>0.14330223600530717</v>
      </c>
      <c r="O81" s="62" t="s">
        <v>1908</v>
      </c>
      <c r="P81" s="62">
        <v>33.065911629165676</v>
      </c>
      <c r="Q81" s="62" t="s">
        <v>1908</v>
      </c>
      <c r="R81" s="62">
        <v>176.86225756383251</v>
      </c>
      <c r="S81" s="62" t="s">
        <v>1808</v>
      </c>
      <c r="T81" s="62">
        <v>0.1355607843338911</v>
      </c>
      <c r="U81" s="62" t="s">
        <v>1908</v>
      </c>
      <c r="V81" s="62">
        <v>19.442019659404174</v>
      </c>
      <c r="W81" s="10" t="s">
        <v>1807</v>
      </c>
    </row>
    <row r="82" spans="2:23" ht="25.2" customHeight="1" x14ac:dyDescent="0.3">
      <c r="B82" s="16" t="s">
        <v>1026</v>
      </c>
      <c r="C82" s="18">
        <v>200</v>
      </c>
      <c r="D82" s="62">
        <v>45.273852107954873</v>
      </c>
      <c r="E82" s="62" t="s">
        <v>1807</v>
      </c>
      <c r="F82" s="62">
        <v>84.973329168116095</v>
      </c>
      <c r="G82" s="62" t="s">
        <v>1808</v>
      </c>
      <c r="H82" s="62">
        <v>5.8322274333045936</v>
      </c>
      <c r="I82" s="62" t="s">
        <v>1908</v>
      </c>
      <c r="J82" s="62">
        <v>41.035208576213428</v>
      </c>
      <c r="K82" s="62" t="s">
        <v>1908</v>
      </c>
      <c r="L82" s="62">
        <v>2.3370194545388747</v>
      </c>
      <c r="M82" s="62" t="s">
        <v>1808</v>
      </c>
      <c r="N82" s="62">
        <v>7.9568242302280018E-2</v>
      </c>
      <c r="O82" s="62" t="s">
        <v>1908</v>
      </c>
      <c r="P82" s="62">
        <v>3.2223375144572741</v>
      </c>
      <c r="Q82" s="62" t="s">
        <v>1908</v>
      </c>
      <c r="R82" s="62">
        <v>211.20148595118903</v>
      </c>
      <c r="S82" s="62" t="s">
        <v>1808</v>
      </c>
      <c r="T82" s="62">
        <v>8.2388044892941215E-3</v>
      </c>
      <c r="U82" s="62" t="s">
        <v>1908</v>
      </c>
      <c r="V82" s="62">
        <v>3.6295005642073859</v>
      </c>
      <c r="W82" s="10" t="s">
        <v>1908</v>
      </c>
    </row>
    <row r="83" spans="2:23" ht="25.2" customHeight="1" x14ac:dyDescent="0.3">
      <c r="B83" s="16" t="s">
        <v>1026</v>
      </c>
      <c r="C83" s="18">
        <v>300</v>
      </c>
      <c r="D83" s="62">
        <v>61.374534469578983</v>
      </c>
      <c r="E83" s="62" t="s">
        <v>1807</v>
      </c>
      <c r="F83" s="62">
        <v>129.8232809063677</v>
      </c>
      <c r="G83" s="62" t="s">
        <v>1808</v>
      </c>
      <c r="H83" s="62">
        <v>2185.0796005565412</v>
      </c>
      <c r="I83" s="62" t="s">
        <v>1808</v>
      </c>
      <c r="J83" s="62">
        <v>1781.3563182448479</v>
      </c>
      <c r="K83" s="62" t="s">
        <v>1808</v>
      </c>
      <c r="L83" s="62">
        <v>1.9346326057508838</v>
      </c>
      <c r="M83" s="62" t="s">
        <v>1808</v>
      </c>
      <c r="N83" s="62">
        <v>0.66375344794371671</v>
      </c>
      <c r="O83" s="62" t="s">
        <v>1808</v>
      </c>
      <c r="P83" s="62">
        <v>54.530215091924738</v>
      </c>
      <c r="Q83" s="62" t="s">
        <v>1908</v>
      </c>
      <c r="R83" s="62">
        <v>204.92367867857445</v>
      </c>
      <c r="S83" s="62" t="s">
        <v>1808</v>
      </c>
      <c r="T83" s="62">
        <v>1.2794280887334861</v>
      </c>
      <c r="U83" s="62" t="s">
        <v>1807</v>
      </c>
      <c r="V83" s="62">
        <v>871.68676178872556</v>
      </c>
      <c r="W83" s="10" t="s">
        <v>1808</v>
      </c>
    </row>
    <row r="84" spans="2:23" ht="25.2" customHeight="1" x14ac:dyDescent="0.3">
      <c r="B84" s="16" t="s">
        <v>1026</v>
      </c>
      <c r="C84" s="17">
        <v>400</v>
      </c>
      <c r="D84" s="62">
        <v>109.64118600365939</v>
      </c>
      <c r="E84" s="62" t="s">
        <v>1808</v>
      </c>
      <c r="F84" s="62">
        <v>156.39248000882887</v>
      </c>
      <c r="G84" s="62" t="s">
        <v>1808</v>
      </c>
      <c r="H84" s="62">
        <v>19.115437423213478</v>
      </c>
      <c r="I84" s="62" t="s">
        <v>1908</v>
      </c>
      <c r="J84" s="62">
        <v>120.85731543710916</v>
      </c>
      <c r="K84" s="62" t="s">
        <v>1807</v>
      </c>
      <c r="L84" s="62">
        <v>1.6761710241249941</v>
      </c>
      <c r="M84" s="62" t="s">
        <v>1808</v>
      </c>
      <c r="N84" s="62">
        <v>0.15410764104698002</v>
      </c>
      <c r="O84" s="62" t="s">
        <v>1908</v>
      </c>
      <c r="P84" s="62">
        <v>58.939786488941394</v>
      </c>
      <c r="Q84" s="62" t="s">
        <v>1908</v>
      </c>
      <c r="R84" s="62">
        <v>251.06707562504565</v>
      </c>
      <c r="S84" s="62" t="s">
        <v>1808</v>
      </c>
      <c r="T84" s="62">
        <v>0.16188509016563934</v>
      </c>
      <c r="U84" s="62" t="s">
        <v>1908</v>
      </c>
      <c r="V84" s="62">
        <v>6.1059913581583238</v>
      </c>
      <c r="W84" s="10" t="s">
        <v>1908</v>
      </c>
    </row>
    <row r="85" spans="2:23" ht="25.2" customHeight="1" x14ac:dyDescent="0.3">
      <c r="B85" s="16" t="s">
        <v>1026</v>
      </c>
      <c r="C85" s="18">
        <v>500</v>
      </c>
      <c r="D85" s="62">
        <v>160.80957634154177</v>
      </c>
      <c r="E85" s="62" t="s">
        <v>1808</v>
      </c>
      <c r="F85" s="62">
        <v>240.14327854305571</v>
      </c>
      <c r="G85" s="62" t="s">
        <v>1808</v>
      </c>
      <c r="H85" s="62">
        <v>18.882862659047685</v>
      </c>
      <c r="I85" s="62" t="s">
        <v>1908</v>
      </c>
      <c r="J85" s="62">
        <v>115.57090326105666</v>
      </c>
      <c r="K85" s="62" t="s">
        <v>1807</v>
      </c>
      <c r="L85" s="62">
        <v>1.7084414632633056</v>
      </c>
      <c r="M85" s="62" t="s">
        <v>1808</v>
      </c>
      <c r="N85" s="62">
        <v>0.10063066728630472</v>
      </c>
      <c r="O85" s="62" t="s">
        <v>1908</v>
      </c>
      <c r="P85" s="62">
        <v>15.612879318845494</v>
      </c>
      <c r="Q85" s="62" t="s">
        <v>1908</v>
      </c>
      <c r="R85" s="62">
        <v>292.00576349535999</v>
      </c>
      <c r="S85" s="62" t="s">
        <v>1808</v>
      </c>
      <c r="T85" s="62">
        <v>0.26266490616195098</v>
      </c>
      <c r="U85" s="62" t="s">
        <v>1908</v>
      </c>
      <c r="V85" s="62">
        <v>3.2313819517988791</v>
      </c>
      <c r="W85" s="10" t="s">
        <v>1908</v>
      </c>
    </row>
    <row r="86" spans="2:23" ht="25.2" customHeight="1" x14ac:dyDescent="0.3">
      <c r="B86" s="16" t="s">
        <v>1027</v>
      </c>
      <c r="C86" s="17">
        <v>100</v>
      </c>
      <c r="D86" s="62">
        <v>28.049097077665305</v>
      </c>
      <c r="E86" s="62" t="s">
        <v>1807</v>
      </c>
      <c r="F86" s="62">
        <v>46.293639560237793</v>
      </c>
      <c r="G86" s="62" t="s">
        <v>1808</v>
      </c>
      <c r="H86" s="62">
        <v>21.803855293257392</v>
      </c>
      <c r="I86" s="62" t="s">
        <v>1908</v>
      </c>
      <c r="J86" s="62">
        <v>102.45942906441792</v>
      </c>
      <c r="K86" s="62" t="s">
        <v>1807</v>
      </c>
      <c r="L86" s="62">
        <v>1.2353912161031562</v>
      </c>
      <c r="M86" s="62" t="s">
        <v>1807</v>
      </c>
      <c r="N86" s="62">
        <v>0.16256640647550211</v>
      </c>
      <c r="O86" s="62" t="s">
        <v>1807</v>
      </c>
      <c r="P86" s="62">
        <v>19.130057095955159</v>
      </c>
      <c r="Q86" s="62" t="s">
        <v>1908</v>
      </c>
      <c r="R86" s="62">
        <v>218.82657910635334</v>
      </c>
      <c r="S86" s="62" t="s">
        <v>1808</v>
      </c>
      <c r="T86" s="62">
        <v>8.4799159131736732E-2</v>
      </c>
      <c r="U86" s="62" t="s">
        <v>1908</v>
      </c>
      <c r="V86" s="62">
        <v>8.1680077237078255</v>
      </c>
      <c r="W86" s="10" t="s">
        <v>1908</v>
      </c>
    </row>
    <row r="87" spans="2:23" ht="25.2" customHeight="1" x14ac:dyDescent="0.3">
      <c r="B87" s="16" t="s">
        <v>1027</v>
      </c>
      <c r="C87" s="18">
        <v>200</v>
      </c>
      <c r="D87" s="62">
        <v>62.116317362267885</v>
      </c>
      <c r="E87" s="62" t="s">
        <v>1807</v>
      </c>
      <c r="F87" s="62">
        <v>96.597389312045905</v>
      </c>
      <c r="G87" s="62" t="s">
        <v>1808</v>
      </c>
      <c r="H87" s="62">
        <v>14.383285712405986</v>
      </c>
      <c r="I87" s="62" t="s">
        <v>1908</v>
      </c>
      <c r="J87" s="62">
        <v>75.738756204364677</v>
      </c>
      <c r="K87" s="62" t="s">
        <v>1908</v>
      </c>
      <c r="L87" s="62">
        <v>1.4341684475498937</v>
      </c>
      <c r="M87" s="62" t="s">
        <v>1807</v>
      </c>
      <c r="N87" s="62">
        <v>0.1456229138924991</v>
      </c>
      <c r="O87" s="62" t="s">
        <v>1908</v>
      </c>
      <c r="P87" s="62">
        <v>11.074549446526417</v>
      </c>
      <c r="Q87" s="62" t="s">
        <v>1908</v>
      </c>
      <c r="R87" s="62">
        <v>230.14676292499325</v>
      </c>
      <c r="S87" s="62" t="s">
        <v>1808</v>
      </c>
      <c r="T87" s="62">
        <v>0.4833475735056838</v>
      </c>
      <c r="U87" s="62" t="s">
        <v>1908</v>
      </c>
      <c r="V87" s="62">
        <v>4.8030484506895039</v>
      </c>
      <c r="W87" s="10" t="s">
        <v>1908</v>
      </c>
    </row>
    <row r="88" spans="2:23" ht="25.2" customHeight="1" x14ac:dyDescent="0.3">
      <c r="B88" s="16" t="s">
        <v>1027</v>
      </c>
      <c r="C88" s="18">
        <v>300</v>
      </c>
      <c r="D88" s="62">
        <v>96.503430712931134</v>
      </c>
      <c r="E88" s="62" t="s">
        <v>1808</v>
      </c>
      <c r="F88" s="62">
        <v>141.83760749630184</v>
      </c>
      <c r="G88" s="62" t="s">
        <v>1808</v>
      </c>
      <c r="H88" s="62">
        <v>24.144423345991484</v>
      </c>
      <c r="I88" s="62" t="s">
        <v>1908</v>
      </c>
      <c r="J88" s="62">
        <v>50.153922260551035</v>
      </c>
      <c r="K88" s="62" t="s">
        <v>1908</v>
      </c>
      <c r="L88" s="62">
        <v>1.526648381045691</v>
      </c>
      <c r="M88" s="62" t="s">
        <v>1808</v>
      </c>
      <c r="N88" s="62">
        <v>0.51672667123264615</v>
      </c>
      <c r="O88" s="62" t="s">
        <v>1807</v>
      </c>
      <c r="P88" s="62">
        <v>15.672163859222637</v>
      </c>
      <c r="Q88" s="62" t="s">
        <v>1908</v>
      </c>
      <c r="R88" s="62">
        <v>219.28087515283042</v>
      </c>
      <c r="S88" s="62" t="s">
        <v>1808</v>
      </c>
      <c r="T88" s="62">
        <v>7.0227722979077478E-2</v>
      </c>
      <c r="U88" s="62" t="s">
        <v>1908</v>
      </c>
      <c r="V88" s="62">
        <v>9.6239341580937481</v>
      </c>
      <c r="W88" s="10" t="s">
        <v>1908</v>
      </c>
    </row>
    <row r="89" spans="2:23" ht="25.2" customHeight="1" x14ac:dyDescent="0.3">
      <c r="B89" s="16" t="s">
        <v>1027</v>
      </c>
      <c r="C89" s="17">
        <v>400</v>
      </c>
      <c r="D89" s="62">
        <v>150.49285215804647</v>
      </c>
      <c r="E89" s="62" t="s">
        <v>1808</v>
      </c>
      <c r="F89" s="62">
        <v>215.25423758883727</v>
      </c>
      <c r="G89" s="62" t="s">
        <v>1808</v>
      </c>
      <c r="H89" s="62">
        <v>13.993531853128118</v>
      </c>
      <c r="I89" s="62" t="s">
        <v>1908</v>
      </c>
      <c r="J89" s="62">
        <v>61.198575097560955</v>
      </c>
      <c r="K89" s="62" t="s">
        <v>1908</v>
      </c>
      <c r="L89" s="62">
        <v>1.552136976626133</v>
      </c>
      <c r="M89" s="62" t="s">
        <v>1808</v>
      </c>
      <c r="N89" s="62">
        <v>0.12508708467097979</v>
      </c>
      <c r="O89" s="62" t="s">
        <v>1908</v>
      </c>
      <c r="P89" s="62">
        <v>38.22421302330919</v>
      </c>
      <c r="Q89" s="62" t="s">
        <v>1908</v>
      </c>
      <c r="R89" s="62">
        <v>292.55070318529738</v>
      </c>
      <c r="S89" s="62" t="s">
        <v>1808</v>
      </c>
      <c r="T89" s="62">
        <v>8.9745852184623109E-2</v>
      </c>
      <c r="U89" s="62" t="s">
        <v>1908</v>
      </c>
      <c r="V89" s="62">
        <v>3.8617792696900812</v>
      </c>
      <c r="W89" s="10" t="s">
        <v>1908</v>
      </c>
    </row>
    <row r="90" spans="2:23" ht="25.2" customHeight="1" x14ac:dyDescent="0.3">
      <c r="B90" s="16" t="s">
        <v>1027</v>
      </c>
      <c r="C90" s="18">
        <v>500</v>
      </c>
      <c r="D90" s="62">
        <v>162.47922018302424</v>
      </c>
      <c r="E90" s="62" t="s">
        <v>1808</v>
      </c>
      <c r="F90" s="62">
        <v>231.79498816813467</v>
      </c>
      <c r="G90" s="62" t="s">
        <v>1808</v>
      </c>
      <c r="H90" s="62">
        <v>67.195634193669164</v>
      </c>
      <c r="I90" s="62" t="s">
        <v>1807</v>
      </c>
      <c r="J90" s="62">
        <v>76.38596874313933</v>
      </c>
      <c r="K90" s="62" t="s">
        <v>1908</v>
      </c>
      <c r="L90" s="62">
        <v>1.8267565293507577</v>
      </c>
      <c r="M90" s="62" t="s">
        <v>1808</v>
      </c>
      <c r="N90" s="62">
        <v>0.1581519826093252</v>
      </c>
      <c r="O90" s="62" t="s">
        <v>1908</v>
      </c>
      <c r="P90" s="62">
        <v>2.4617333920861846</v>
      </c>
      <c r="Q90" s="62" t="s">
        <v>1908</v>
      </c>
      <c r="R90" s="62">
        <v>318.48221349125646</v>
      </c>
      <c r="S90" s="62" t="s">
        <v>1808</v>
      </c>
      <c r="T90" s="62">
        <v>0.14611309225336272</v>
      </c>
      <c r="U90" s="62" t="s">
        <v>1908</v>
      </c>
      <c r="V90" s="62">
        <v>25.33568102391871</v>
      </c>
      <c r="W90" s="10" t="s">
        <v>1807</v>
      </c>
    </row>
    <row r="91" spans="2:23" ht="25.2" customHeight="1" x14ac:dyDescent="0.3">
      <c r="B91" s="16" t="s">
        <v>1028</v>
      </c>
      <c r="C91" s="17">
        <v>100</v>
      </c>
      <c r="D91" s="62">
        <v>17.998979643021684</v>
      </c>
      <c r="E91" s="62" t="s">
        <v>1908</v>
      </c>
      <c r="F91" s="62">
        <v>151.59384233263972</v>
      </c>
      <c r="G91" s="62" t="s">
        <v>1808</v>
      </c>
      <c r="H91" s="62">
        <v>869.37498311910315</v>
      </c>
      <c r="I91" s="62" t="s">
        <v>1808</v>
      </c>
      <c r="J91" s="62">
        <v>7085.6531239508549</v>
      </c>
      <c r="K91" s="62" t="s">
        <v>1808</v>
      </c>
      <c r="L91" s="62">
        <v>2.0882705031420401</v>
      </c>
      <c r="M91" s="62" t="s">
        <v>1808</v>
      </c>
      <c r="N91" s="62">
        <v>0.89415856248351222</v>
      </c>
      <c r="O91" s="62" t="s">
        <v>1808</v>
      </c>
      <c r="P91" s="62">
        <v>37.720909834762672</v>
      </c>
      <c r="Q91" s="62" t="s">
        <v>1908</v>
      </c>
      <c r="R91" s="62">
        <v>399.79832117905937</v>
      </c>
      <c r="S91" s="62" t="s">
        <v>1808</v>
      </c>
      <c r="T91" s="62">
        <v>1.3956647224284033</v>
      </c>
      <c r="U91" s="62" t="s">
        <v>1807</v>
      </c>
      <c r="V91" s="62">
        <v>1076.8746982250022</v>
      </c>
      <c r="W91" s="10" t="s">
        <v>1808</v>
      </c>
    </row>
    <row r="92" spans="2:23" ht="25.2" customHeight="1" x14ac:dyDescent="0.3">
      <c r="B92" s="16" t="s">
        <v>1028</v>
      </c>
      <c r="C92" s="18">
        <v>200</v>
      </c>
      <c r="D92" s="62">
        <v>28.080328801207969</v>
      </c>
      <c r="E92" s="62" t="s">
        <v>1807</v>
      </c>
      <c r="F92" s="62">
        <v>52.467228019603951</v>
      </c>
      <c r="G92" s="62" t="s">
        <v>1808</v>
      </c>
      <c r="H92" s="62">
        <v>9.6402150269507629</v>
      </c>
      <c r="I92" s="62" t="s">
        <v>1908</v>
      </c>
      <c r="J92" s="62">
        <v>26.94685476724085</v>
      </c>
      <c r="K92" s="62" t="s">
        <v>1908</v>
      </c>
      <c r="L92" s="62">
        <v>1.3427371557765864</v>
      </c>
      <c r="M92" s="62" t="s">
        <v>1807</v>
      </c>
      <c r="N92" s="62">
        <v>0.14302026590533645</v>
      </c>
      <c r="O92" s="62" t="s">
        <v>1908</v>
      </c>
      <c r="P92" s="62">
        <v>3.793173468947598</v>
      </c>
      <c r="Q92" s="62" t="s">
        <v>1908</v>
      </c>
      <c r="R92" s="62">
        <v>479.71950389326361</v>
      </c>
      <c r="S92" s="62" t="s">
        <v>1808</v>
      </c>
      <c r="T92" s="62" t="s">
        <v>1907</v>
      </c>
      <c r="U92" s="62" t="s">
        <v>1808</v>
      </c>
      <c r="V92" s="62">
        <v>0.6963656281380457</v>
      </c>
      <c r="W92" s="10" t="s">
        <v>1908</v>
      </c>
    </row>
    <row r="93" spans="2:23" ht="25.2" customHeight="1" x14ac:dyDescent="0.3">
      <c r="B93" s="16" t="s">
        <v>1028</v>
      </c>
      <c r="C93" s="18">
        <v>300</v>
      </c>
      <c r="D93" s="62">
        <v>40.847599651772931</v>
      </c>
      <c r="E93" s="62" t="s">
        <v>1807</v>
      </c>
      <c r="F93" s="62">
        <v>98.328300629074178</v>
      </c>
      <c r="G93" s="62" t="s">
        <v>1808</v>
      </c>
      <c r="H93" s="62">
        <v>773.53667299812571</v>
      </c>
      <c r="I93" s="62" t="s">
        <v>1808</v>
      </c>
      <c r="J93" s="62">
        <v>1981.4355316816568</v>
      </c>
      <c r="K93" s="62" t="s">
        <v>1808</v>
      </c>
      <c r="L93" s="62">
        <v>2.6699162315741489</v>
      </c>
      <c r="M93" s="62" t="s">
        <v>1808</v>
      </c>
      <c r="N93" s="62">
        <v>0.57176339065654291</v>
      </c>
      <c r="O93" s="62" t="s">
        <v>1808</v>
      </c>
      <c r="P93" s="62">
        <v>18.95945753273682</v>
      </c>
      <c r="Q93" s="62" t="s">
        <v>1908</v>
      </c>
      <c r="R93" s="62">
        <v>561.92644981210685</v>
      </c>
      <c r="S93" s="62" t="s">
        <v>1808</v>
      </c>
      <c r="T93" s="62">
        <v>0.47802879268788784</v>
      </c>
      <c r="U93" s="62" t="s">
        <v>1908</v>
      </c>
      <c r="V93" s="62">
        <v>515.66228272775913</v>
      </c>
      <c r="W93" s="10" t="s">
        <v>1808</v>
      </c>
    </row>
    <row r="94" spans="2:23" ht="25.2" customHeight="1" x14ac:dyDescent="0.3">
      <c r="B94" s="16" t="s">
        <v>1028</v>
      </c>
      <c r="C94" s="17">
        <v>400</v>
      </c>
      <c r="D94" s="62">
        <v>8.1362059724978568</v>
      </c>
      <c r="E94" s="62" t="s">
        <v>1908</v>
      </c>
      <c r="F94" s="62">
        <v>38.173103452496328</v>
      </c>
      <c r="G94" s="62" t="s">
        <v>1807</v>
      </c>
      <c r="H94" s="62">
        <v>15.34029764289091</v>
      </c>
      <c r="I94" s="62" t="s">
        <v>1908</v>
      </c>
      <c r="J94" s="62">
        <v>55.394507064715853</v>
      </c>
      <c r="K94" s="62" t="s">
        <v>1908</v>
      </c>
      <c r="L94" s="62">
        <v>1.3573654386108571</v>
      </c>
      <c r="M94" s="62" t="s">
        <v>1807</v>
      </c>
      <c r="N94" s="62">
        <v>0.22915650448239808</v>
      </c>
      <c r="O94" s="62" t="s">
        <v>1807</v>
      </c>
      <c r="P94" s="62" t="s">
        <v>1907</v>
      </c>
      <c r="Q94" s="62" t="s">
        <v>1808</v>
      </c>
      <c r="R94" s="62">
        <v>516.11340803145174</v>
      </c>
      <c r="S94" s="62" t="s">
        <v>1808</v>
      </c>
      <c r="T94" s="62">
        <v>1.1195106498398558E-2</v>
      </c>
      <c r="U94" s="62" t="s">
        <v>1908</v>
      </c>
      <c r="V94" s="62" t="s">
        <v>1907</v>
      </c>
      <c r="W94" s="10" t="s">
        <v>1808</v>
      </c>
    </row>
    <row r="95" spans="2:23" ht="25.2" customHeight="1" x14ac:dyDescent="0.3">
      <c r="B95" s="16" t="s">
        <v>1028</v>
      </c>
      <c r="C95" s="18">
        <v>500</v>
      </c>
      <c r="D95" s="62">
        <v>17.895949377851487</v>
      </c>
      <c r="E95" s="62" t="s">
        <v>1908</v>
      </c>
      <c r="F95" s="62">
        <v>50.893437860434666</v>
      </c>
      <c r="G95" s="62" t="s">
        <v>1808</v>
      </c>
      <c r="H95" s="62">
        <v>10.604293837348347</v>
      </c>
      <c r="I95" s="62" t="s">
        <v>1908</v>
      </c>
      <c r="J95" s="62">
        <v>88.699035139834663</v>
      </c>
      <c r="K95" s="62" t="s">
        <v>1908</v>
      </c>
      <c r="L95" s="62">
        <v>1.184320318371612</v>
      </c>
      <c r="M95" s="62" t="s">
        <v>1807</v>
      </c>
      <c r="N95" s="62">
        <v>0.1403176210811522</v>
      </c>
      <c r="O95" s="62" t="s">
        <v>1908</v>
      </c>
      <c r="P95" s="62">
        <v>6.207567257141215</v>
      </c>
      <c r="Q95" s="62" t="s">
        <v>1908</v>
      </c>
      <c r="R95" s="62">
        <v>438.72070025663066</v>
      </c>
      <c r="S95" s="62" t="s">
        <v>1808</v>
      </c>
      <c r="T95" s="62">
        <v>1.6770289488619163E-2</v>
      </c>
      <c r="U95" s="62" t="s">
        <v>1908</v>
      </c>
      <c r="V95" s="62" t="s">
        <v>1907</v>
      </c>
      <c r="W95" s="10" t="s">
        <v>1808</v>
      </c>
    </row>
    <row r="96" spans="2:23" ht="25.2" customHeight="1" x14ac:dyDescent="0.3">
      <c r="B96" s="16" t="s">
        <v>1029</v>
      </c>
      <c r="C96" s="17">
        <v>100</v>
      </c>
      <c r="D96" s="62">
        <v>15.259566176451619</v>
      </c>
      <c r="E96" s="62" t="s">
        <v>1908</v>
      </c>
      <c r="F96" s="62">
        <v>58.874202809410242</v>
      </c>
      <c r="G96" s="62" t="s">
        <v>1808</v>
      </c>
      <c r="H96" s="62">
        <v>6.368423738933001</v>
      </c>
      <c r="I96" s="62" t="s">
        <v>1908</v>
      </c>
      <c r="J96" s="62">
        <v>102.02779112514955</v>
      </c>
      <c r="K96" s="62" t="s">
        <v>1807</v>
      </c>
      <c r="L96" s="62">
        <v>2.0864937088555178</v>
      </c>
      <c r="M96" s="62" t="s">
        <v>1808</v>
      </c>
      <c r="N96" s="62">
        <v>0.55855490591697088</v>
      </c>
      <c r="O96" s="62" t="s">
        <v>1808</v>
      </c>
      <c r="P96" s="62">
        <v>10.10594098321366</v>
      </c>
      <c r="Q96" s="62" t="s">
        <v>1908</v>
      </c>
      <c r="R96" s="62">
        <v>368.64197686639801</v>
      </c>
      <c r="S96" s="62" t="s">
        <v>1808</v>
      </c>
      <c r="T96" s="62">
        <v>4.7167176456001859E-2</v>
      </c>
      <c r="U96" s="62" t="s">
        <v>1908</v>
      </c>
      <c r="V96" s="62">
        <v>2.3626876181021395</v>
      </c>
      <c r="W96" s="10" t="s">
        <v>1908</v>
      </c>
    </row>
    <row r="97" spans="1:23" ht="25.2" customHeight="1" x14ac:dyDescent="0.3">
      <c r="B97" s="16" t="s">
        <v>1029</v>
      </c>
      <c r="C97" s="18">
        <v>200</v>
      </c>
      <c r="D97" s="62">
        <v>12.103809827017773</v>
      </c>
      <c r="E97" s="62" t="s">
        <v>1908</v>
      </c>
      <c r="F97" s="62">
        <v>53.669748667384283</v>
      </c>
      <c r="G97" s="62" t="s">
        <v>1808</v>
      </c>
      <c r="H97" s="62">
        <v>180.93444537518036</v>
      </c>
      <c r="I97" s="62" t="s">
        <v>1808</v>
      </c>
      <c r="J97" s="62">
        <v>233.49900218634252</v>
      </c>
      <c r="K97" s="62" t="s">
        <v>1807</v>
      </c>
      <c r="L97" s="62">
        <v>1.7208566241823349</v>
      </c>
      <c r="M97" s="62" t="s">
        <v>1808</v>
      </c>
      <c r="N97" s="62">
        <v>0.6085028718499087</v>
      </c>
      <c r="O97" s="62" t="s">
        <v>1808</v>
      </c>
      <c r="P97" s="62">
        <v>3.2164848101849932</v>
      </c>
      <c r="Q97" s="62" t="s">
        <v>1908</v>
      </c>
      <c r="R97" s="62">
        <v>413.27384784361271</v>
      </c>
      <c r="S97" s="62" t="s">
        <v>1808</v>
      </c>
      <c r="T97" s="62">
        <v>8.2699936174912447E-2</v>
      </c>
      <c r="U97" s="62" t="s">
        <v>1908</v>
      </c>
      <c r="V97" s="62">
        <v>65.262166971021188</v>
      </c>
      <c r="W97" s="10" t="s">
        <v>1808</v>
      </c>
    </row>
    <row r="98" spans="1:23" ht="25.2" customHeight="1" x14ac:dyDescent="0.3">
      <c r="B98" s="16" t="s">
        <v>1029</v>
      </c>
      <c r="C98" s="18">
        <v>300</v>
      </c>
      <c r="D98" s="62">
        <v>60.510077232758569</v>
      </c>
      <c r="E98" s="62" t="s">
        <v>1807</v>
      </c>
      <c r="F98" s="62">
        <v>55.701195883139121</v>
      </c>
      <c r="G98" s="62" t="s">
        <v>1808</v>
      </c>
      <c r="H98" s="62">
        <v>53.907861547342449</v>
      </c>
      <c r="I98" s="62" t="s">
        <v>1807</v>
      </c>
      <c r="J98" s="62">
        <v>97.050339300492979</v>
      </c>
      <c r="K98" s="62" t="s">
        <v>1908</v>
      </c>
      <c r="L98" s="62">
        <v>1.5669550091846161</v>
      </c>
      <c r="M98" s="62" t="s">
        <v>1808</v>
      </c>
      <c r="N98" s="62">
        <v>0.48624550646967474</v>
      </c>
      <c r="O98" s="62" t="s">
        <v>1807</v>
      </c>
      <c r="P98" s="62">
        <v>4.0031490376062937</v>
      </c>
      <c r="Q98" s="62" t="s">
        <v>1908</v>
      </c>
      <c r="R98" s="62">
        <v>409.04540752224443</v>
      </c>
      <c r="S98" s="62" t="s">
        <v>1808</v>
      </c>
      <c r="T98" s="62">
        <v>1.7903560259584388E-2</v>
      </c>
      <c r="U98" s="62" t="s">
        <v>1908</v>
      </c>
      <c r="V98" s="62">
        <v>11.228882662685278</v>
      </c>
      <c r="W98" s="10" t="s">
        <v>1908</v>
      </c>
    </row>
    <row r="99" spans="1:23" ht="25.2" customHeight="1" x14ac:dyDescent="0.3">
      <c r="B99" s="16" t="s">
        <v>1029</v>
      </c>
      <c r="C99" s="17">
        <v>400</v>
      </c>
      <c r="D99" s="62">
        <v>29.158588465588554</v>
      </c>
      <c r="E99" s="62" t="s">
        <v>1807</v>
      </c>
      <c r="F99" s="62">
        <v>85.731637483913659</v>
      </c>
      <c r="G99" s="62" t="s">
        <v>1808</v>
      </c>
      <c r="H99" s="62">
        <v>1959.898816349217</v>
      </c>
      <c r="I99" s="62" t="s">
        <v>1808</v>
      </c>
      <c r="J99" s="62">
        <v>1099.6078840334601</v>
      </c>
      <c r="K99" s="62" t="s">
        <v>1808</v>
      </c>
      <c r="L99" s="62">
        <v>1.9410157107503525</v>
      </c>
      <c r="M99" s="62" t="s">
        <v>1808</v>
      </c>
      <c r="N99" s="62">
        <v>0.75211246913813146</v>
      </c>
      <c r="O99" s="62" t="s">
        <v>1808</v>
      </c>
      <c r="P99" s="62">
        <v>44.25661032707751</v>
      </c>
      <c r="Q99" s="62" t="s">
        <v>1908</v>
      </c>
      <c r="R99" s="62">
        <v>457.82782602594108</v>
      </c>
      <c r="S99" s="62" t="s">
        <v>1808</v>
      </c>
      <c r="T99" s="62">
        <v>0.92781935267122495</v>
      </c>
      <c r="U99" s="62" t="s">
        <v>1807</v>
      </c>
      <c r="V99" s="62">
        <v>492.06478863022278</v>
      </c>
      <c r="W99" s="10" t="s">
        <v>1808</v>
      </c>
    </row>
    <row r="100" spans="1:23" ht="25.2" customHeight="1" x14ac:dyDescent="0.3">
      <c r="B100" s="16" t="s">
        <v>1029</v>
      </c>
      <c r="C100" s="18">
        <v>500</v>
      </c>
      <c r="D100" s="62">
        <v>46.155673791965192</v>
      </c>
      <c r="E100" s="62" t="s">
        <v>1807</v>
      </c>
      <c r="F100" s="62">
        <v>107.56660132868322</v>
      </c>
      <c r="G100" s="62" t="s">
        <v>1808</v>
      </c>
      <c r="H100" s="62">
        <v>72.141570818496149</v>
      </c>
      <c r="I100" s="62" t="s">
        <v>1807</v>
      </c>
      <c r="J100" s="62">
        <v>182.14365537328879</v>
      </c>
      <c r="K100" s="62" t="s">
        <v>1807</v>
      </c>
      <c r="L100" s="62">
        <v>2.2196098833116555</v>
      </c>
      <c r="M100" s="62" t="s">
        <v>1808</v>
      </c>
      <c r="N100" s="62">
        <v>0.721065628284695</v>
      </c>
      <c r="O100" s="62" t="s">
        <v>1808</v>
      </c>
      <c r="P100" s="62">
        <v>46.737845642844697</v>
      </c>
      <c r="Q100" s="62" t="s">
        <v>1908</v>
      </c>
      <c r="R100" s="62">
        <v>585.15443338637488</v>
      </c>
      <c r="S100" s="62" t="s">
        <v>1808</v>
      </c>
      <c r="T100" s="62">
        <v>0.13320425133007921</v>
      </c>
      <c r="U100" s="62" t="s">
        <v>1908</v>
      </c>
      <c r="V100" s="62">
        <v>37.614173431266003</v>
      </c>
      <c r="W100" s="10" t="s">
        <v>1807</v>
      </c>
    </row>
    <row r="101" spans="1:23" ht="25.2" customHeight="1" x14ac:dyDescent="0.3">
      <c r="B101" s="16" t="s">
        <v>1030</v>
      </c>
      <c r="C101" s="17">
        <v>100</v>
      </c>
      <c r="D101" s="62">
        <v>11.003577608372334</v>
      </c>
      <c r="E101" s="62" t="s">
        <v>1908</v>
      </c>
      <c r="F101" s="62">
        <v>102.40718201731403</v>
      </c>
      <c r="G101" s="62" t="s">
        <v>1808</v>
      </c>
      <c r="H101" s="62">
        <v>93.074112226313886</v>
      </c>
      <c r="I101" s="62" t="s">
        <v>1808</v>
      </c>
      <c r="J101" s="62">
        <v>164.72024096085235</v>
      </c>
      <c r="K101" s="62" t="s">
        <v>1807</v>
      </c>
      <c r="L101" s="62">
        <v>1.4241377343038197</v>
      </c>
      <c r="M101" s="62" t="s">
        <v>1807</v>
      </c>
      <c r="N101" s="62">
        <v>0.21841088886893745</v>
      </c>
      <c r="O101" s="62" t="s">
        <v>1807</v>
      </c>
      <c r="P101" s="62">
        <v>1.162422937336258</v>
      </c>
      <c r="Q101" s="62" t="s">
        <v>1908</v>
      </c>
      <c r="R101" s="62">
        <v>115.81272799545732</v>
      </c>
      <c r="S101" s="62" t="s">
        <v>1808</v>
      </c>
      <c r="T101" s="62">
        <v>4.6526743652782823E-2</v>
      </c>
      <c r="U101" s="62" t="s">
        <v>1908</v>
      </c>
      <c r="V101" s="62">
        <v>35.201077266192748</v>
      </c>
      <c r="W101" s="10" t="s">
        <v>1807</v>
      </c>
    </row>
    <row r="102" spans="1:23" ht="25.2" customHeight="1" x14ac:dyDescent="0.3">
      <c r="B102" s="16" t="s">
        <v>1030</v>
      </c>
      <c r="C102" s="18">
        <v>200</v>
      </c>
      <c r="D102" s="62">
        <v>33.182872909453181</v>
      </c>
      <c r="E102" s="62" t="s">
        <v>1807</v>
      </c>
      <c r="F102" s="62">
        <v>23.839240837815559</v>
      </c>
      <c r="G102" s="62" t="s">
        <v>1807</v>
      </c>
      <c r="H102" s="62">
        <v>38.768345242445953</v>
      </c>
      <c r="I102" s="62" t="s">
        <v>1807</v>
      </c>
      <c r="J102" s="62">
        <v>108.2310041854799</v>
      </c>
      <c r="K102" s="62" t="s">
        <v>1807</v>
      </c>
      <c r="L102" s="62">
        <v>1.4529757403682144</v>
      </c>
      <c r="M102" s="62" t="s">
        <v>1807</v>
      </c>
      <c r="N102" s="62">
        <v>0.30581788310266483</v>
      </c>
      <c r="O102" s="62" t="s">
        <v>1807</v>
      </c>
      <c r="P102" s="62">
        <v>20.676923817060505</v>
      </c>
      <c r="Q102" s="62" t="s">
        <v>1908</v>
      </c>
      <c r="R102" s="62">
        <v>233.63401966624303</v>
      </c>
      <c r="S102" s="62" t="s">
        <v>1808</v>
      </c>
      <c r="T102" s="62">
        <v>0.10826506556651863</v>
      </c>
      <c r="U102" s="62" t="s">
        <v>1908</v>
      </c>
      <c r="V102" s="62">
        <v>21.423321913511948</v>
      </c>
      <c r="W102" s="10" t="s">
        <v>1807</v>
      </c>
    </row>
    <row r="103" spans="1:23" ht="25.2" customHeight="1" x14ac:dyDescent="0.3">
      <c r="B103" s="16" t="s">
        <v>1030</v>
      </c>
      <c r="C103" s="18">
        <v>300</v>
      </c>
      <c r="D103" s="62">
        <v>13.579157318575948</v>
      </c>
      <c r="E103" s="62" t="s">
        <v>1908</v>
      </c>
      <c r="F103" s="62">
        <v>38.681188411998534</v>
      </c>
      <c r="G103" s="62" t="s">
        <v>1807</v>
      </c>
      <c r="H103" s="62">
        <v>48.586490966499817</v>
      </c>
      <c r="I103" s="62" t="s">
        <v>1807</v>
      </c>
      <c r="J103" s="62">
        <v>97.377634753228577</v>
      </c>
      <c r="K103" s="62" t="s">
        <v>1807</v>
      </c>
      <c r="L103" s="62">
        <v>1.6346924942305383</v>
      </c>
      <c r="M103" s="62" t="s">
        <v>1808</v>
      </c>
      <c r="N103" s="62">
        <v>0.35130528155409158</v>
      </c>
      <c r="O103" s="62" t="s">
        <v>1807</v>
      </c>
      <c r="P103" s="62">
        <v>19.55459769936321</v>
      </c>
      <c r="Q103" s="62" t="s">
        <v>1908</v>
      </c>
      <c r="R103" s="62">
        <v>300.69151918853072</v>
      </c>
      <c r="S103" s="62" t="s">
        <v>1808</v>
      </c>
      <c r="T103" s="62">
        <v>8.1149884422581448E-2</v>
      </c>
      <c r="U103" s="62" t="s">
        <v>1908</v>
      </c>
      <c r="V103" s="62">
        <v>19.622328556397143</v>
      </c>
      <c r="W103" s="10" t="s">
        <v>1807</v>
      </c>
    </row>
    <row r="104" spans="1:23" ht="25.2" customHeight="1" x14ac:dyDescent="0.3">
      <c r="B104" s="16" t="s">
        <v>1030</v>
      </c>
      <c r="C104" s="17">
        <v>400</v>
      </c>
      <c r="D104" s="62">
        <v>38.917593410148832</v>
      </c>
      <c r="E104" s="62" t="s">
        <v>1807</v>
      </c>
      <c r="F104" s="62">
        <v>54.318134368667906</v>
      </c>
      <c r="G104" s="62" t="s">
        <v>1808</v>
      </c>
      <c r="H104" s="62">
        <v>30.03554248403448</v>
      </c>
      <c r="I104" s="62" t="s">
        <v>1807</v>
      </c>
      <c r="J104" s="62">
        <v>73.119615881038655</v>
      </c>
      <c r="K104" s="62" t="s">
        <v>1908</v>
      </c>
      <c r="L104" s="62">
        <v>2.0085123753161573</v>
      </c>
      <c r="M104" s="62" t="s">
        <v>1808</v>
      </c>
      <c r="N104" s="62">
        <v>0.39732396927453983</v>
      </c>
      <c r="O104" s="62" t="s">
        <v>1807</v>
      </c>
      <c r="P104" s="62">
        <v>1.0330649086227064</v>
      </c>
      <c r="Q104" s="62" t="s">
        <v>1908</v>
      </c>
      <c r="R104" s="62">
        <v>351.81712712382523</v>
      </c>
      <c r="S104" s="62" t="s">
        <v>1808</v>
      </c>
      <c r="T104" s="62">
        <v>7.7347174965667773E-2</v>
      </c>
      <c r="U104" s="62" t="s">
        <v>1908</v>
      </c>
      <c r="V104" s="62">
        <v>17.061022895586312</v>
      </c>
      <c r="W104" s="10" t="s">
        <v>1908</v>
      </c>
    </row>
    <row r="105" spans="1:23" ht="25.2" customHeight="1" x14ac:dyDescent="0.3">
      <c r="B105" s="16" t="s">
        <v>1030</v>
      </c>
      <c r="C105" s="18">
        <v>500</v>
      </c>
      <c r="D105" s="62">
        <v>36.462349745703172</v>
      </c>
      <c r="E105" s="62" t="s">
        <v>1807</v>
      </c>
      <c r="F105" s="62">
        <v>69.040251816579072</v>
      </c>
      <c r="G105" s="62" t="s">
        <v>1808</v>
      </c>
      <c r="H105" s="62">
        <v>94.976623215522324</v>
      </c>
      <c r="I105" s="62" t="s">
        <v>1808</v>
      </c>
      <c r="J105" s="62">
        <v>172.5843630348177</v>
      </c>
      <c r="K105" s="62" t="s">
        <v>1807</v>
      </c>
      <c r="L105" s="62">
        <v>2.3191007265159422</v>
      </c>
      <c r="M105" s="62" t="s">
        <v>1808</v>
      </c>
      <c r="N105" s="62">
        <v>0.39475822422914403</v>
      </c>
      <c r="O105" s="62" t="s">
        <v>1807</v>
      </c>
      <c r="P105" s="62">
        <v>1.079510135431542</v>
      </c>
      <c r="Q105" s="62" t="s">
        <v>1908</v>
      </c>
      <c r="R105" s="62">
        <v>347.76703219022613</v>
      </c>
      <c r="S105" s="62" t="s">
        <v>1808</v>
      </c>
      <c r="T105" s="62">
        <v>0.25427824555171308</v>
      </c>
      <c r="U105" s="62" t="s">
        <v>1908</v>
      </c>
      <c r="V105" s="62">
        <v>37.026573044361342</v>
      </c>
      <c r="W105" s="10" t="s">
        <v>1807</v>
      </c>
    </row>
    <row r="106" spans="1:23" ht="25.2" customHeight="1" x14ac:dyDescent="0.3">
      <c r="A106" s="11"/>
      <c r="B106" s="16" t="s">
        <v>1350</v>
      </c>
      <c r="C106" s="17">
        <v>100</v>
      </c>
      <c r="D106" s="54">
        <v>1.2748650904163925</v>
      </c>
      <c r="E106" s="54" t="s">
        <v>1908</v>
      </c>
      <c r="F106" s="54">
        <v>3269.2617020139342</v>
      </c>
      <c r="G106" s="54" t="s">
        <v>1808</v>
      </c>
      <c r="H106" s="54">
        <v>4453.7751850008763</v>
      </c>
      <c r="I106" s="54" t="s">
        <v>1808</v>
      </c>
      <c r="J106" s="54">
        <v>13061.881608576414</v>
      </c>
      <c r="K106" s="54" t="s">
        <v>1808</v>
      </c>
      <c r="L106" s="54">
        <v>3.8122656224276623</v>
      </c>
      <c r="M106" s="54" t="s">
        <v>1808</v>
      </c>
      <c r="N106" s="54">
        <v>1.4935572739619507</v>
      </c>
      <c r="O106" s="54" t="s">
        <v>1808</v>
      </c>
      <c r="P106" s="54">
        <v>267.47307565581963</v>
      </c>
      <c r="Q106" s="54" t="s">
        <v>1808</v>
      </c>
      <c r="R106" s="54">
        <v>162.22603175941808</v>
      </c>
      <c r="S106" s="54" t="s">
        <v>1808</v>
      </c>
      <c r="T106" s="54">
        <v>27.680588494328077</v>
      </c>
      <c r="U106" s="54" t="s">
        <v>1808</v>
      </c>
      <c r="V106" s="62">
        <v>3854.841028793724</v>
      </c>
      <c r="W106" s="10" t="s">
        <v>1808</v>
      </c>
    </row>
    <row r="107" spans="1:23" ht="25.2" customHeight="1" x14ac:dyDescent="0.3">
      <c r="A107" s="11"/>
      <c r="B107" s="16" t="s">
        <v>1351</v>
      </c>
      <c r="C107" s="18">
        <v>200</v>
      </c>
      <c r="D107" s="54">
        <v>44.943448298031804</v>
      </c>
      <c r="E107" s="54" t="s">
        <v>1807</v>
      </c>
      <c r="F107" s="54">
        <v>8934.8512367695512</v>
      </c>
      <c r="G107" s="54" t="s">
        <v>1808</v>
      </c>
      <c r="H107" s="54">
        <v>9343.2966828235403</v>
      </c>
      <c r="I107" s="54" t="s">
        <v>1808</v>
      </c>
      <c r="J107" s="54">
        <v>32057.01007600813</v>
      </c>
      <c r="K107" s="54" t="s">
        <v>1808</v>
      </c>
      <c r="L107" s="54">
        <v>5.4168022020445949</v>
      </c>
      <c r="M107" s="54" t="s">
        <v>1808</v>
      </c>
      <c r="N107" s="54">
        <v>3.802713804842536</v>
      </c>
      <c r="O107" s="54" t="s">
        <v>1808</v>
      </c>
      <c r="P107" s="54">
        <v>627.85688147648511</v>
      </c>
      <c r="Q107" s="54" t="s">
        <v>1808</v>
      </c>
      <c r="R107" s="54">
        <v>505.88740261920918</v>
      </c>
      <c r="S107" s="54" t="s">
        <v>1808</v>
      </c>
      <c r="T107" s="54">
        <v>58.200935544567464</v>
      </c>
      <c r="U107" s="54" t="s">
        <v>1808</v>
      </c>
      <c r="V107" s="62">
        <v>9101.7571726458173</v>
      </c>
      <c r="W107" s="10" t="s">
        <v>1808</v>
      </c>
    </row>
    <row r="108" spans="1:23" ht="25.2" customHeight="1" x14ac:dyDescent="0.3">
      <c r="A108" s="11"/>
      <c r="B108" s="24" t="s">
        <v>1351</v>
      </c>
      <c r="C108" s="18">
        <v>300</v>
      </c>
      <c r="D108" s="54">
        <v>83.16149669604043</v>
      </c>
      <c r="E108" s="54" t="s">
        <v>1807</v>
      </c>
      <c r="F108" s="54">
        <v>4188.5494650654009</v>
      </c>
      <c r="G108" s="54" t="s">
        <v>1808</v>
      </c>
      <c r="H108" s="54">
        <v>6810.739652397423</v>
      </c>
      <c r="I108" s="54" t="s">
        <v>1808</v>
      </c>
      <c r="J108" s="54">
        <v>17008.387613373532</v>
      </c>
      <c r="K108" s="54" t="s">
        <v>1808</v>
      </c>
      <c r="L108" s="54">
        <v>6.080653412345562</v>
      </c>
      <c r="M108" s="54" t="s">
        <v>1808</v>
      </c>
      <c r="N108" s="54">
        <v>2.033942082091337</v>
      </c>
      <c r="O108" s="54" t="s">
        <v>1808</v>
      </c>
      <c r="P108" s="54">
        <v>300.87394205070001</v>
      </c>
      <c r="Q108" s="54" t="s">
        <v>1808</v>
      </c>
      <c r="R108" s="54">
        <v>358.9320824344349</v>
      </c>
      <c r="S108" s="54" t="s">
        <v>1808</v>
      </c>
      <c r="T108" s="54">
        <v>26.078000004001172</v>
      </c>
      <c r="U108" s="54" t="s">
        <v>1808</v>
      </c>
      <c r="V108" s="62">
        <v>4726.468169472495</v>
      </c>
      <c r="W108" s="10" t="s">
        <v>1808</v>
      </c>
    </row>
    <row r="109" spans="1:23" ht="25.2" customHeight="1" x14ac:dyDescent="0.3">
      <c r="A109" s="11"/>
      <c r="B109" s="24" t="s">
        <v>1351</v>
      </c>
      <c r="C109" s="17">
        <v>400</v>
      </c>
      <c r="D109" s="54">
        <v>49.643826758841151</v>
      </c>
      <c r="E109" s="54" t="s">
        <v>1807</v>
      </c>
      <c r="F109" s="54">
        <v>1265.1459459453215</v>
      </c>
      <c r="G109" s="54" t="s">
        <v>1808</v>
      </c>
      <c r="H109" s="54">
        <v>3654.3774111295966</v>
      </c>
      <c r="I109" s="54" t="s">
        <v>1808</v>
      </c>
      <c r="J109" s="54">
        <v>5942.6960634993757</v>
      </c>
      <c r="K109" s="54" t="s">
        <v>1808</v>
      </c>
      <c r="L109" s="54">
        <v>5.9086883323704358</v>
      </c>
      <c r="M109" s="54" t="s">
        <v>1808</v>
      </c>
      <c r="N109" s="54">
        <v>0.83785434078094245</v>
      </c>
      <c r="O109" s="54" t="s">
        <v>1808</v>
      </c>
      <c r="P109" s="54">
        <v>92.106385298356969</v>
      </c>
      <c r="Q109" s="54" t="s">
        <v>1807</v>
      </c>
      <c r="R109" s="54">
        <v>277.3747344317199</v>
      </c>
      <c r="S109" s="54" t="s">
        <v>1808</v>
      </c>
      <c r="T109" s="54">
        <v>8.8097209378452614</v>
      </c>
      <c r="U109" s="54" t="s">
        <v>1808</v>
      </c>
      <c r="V109" s="62">
        <v>1760.891597417522</v>
      </c>
      <c r="W109" s="10" t="s">
        <v>1808</v>
      </c>
    </row>
    <row r="110" spans="1:23" ht="25.2" customHeight="1" x14ac:dyDescent="0.3">
      <c r="A110" s="11"/>
      <c r="B110" s="24" t="s">
        <v>1350</v>
      </c>
      <c r="C110" s="18">
        <v>500</v>
      </c>
      <c r="D110" s="54">
        <v>25.702325830078131</v>
      </c>
      <c r="E110" s="54" t="s">
        <v>1807</v>
      </c>
      <c r="F110" s="54">
        <v>755.67899685873795</v>
      </c>
      <c r="G110" s="54" t="s">
        <v>1808</v>
      </c>
      <c r="H110" s="54">
        <v>1605.6636770669675</v>
      </c>
      <c r="I110" s="54" t="s">
        <v>1808</v>
      </c>
      <c r="J110" s="54">
        <v>2797.573388927176</v>
      </c>
      <c r="K110" s="54" t="s">
        <v>1808</v>
      </c>
      <c r="L110" s="54">
        <v>6.8305291026513961</v>
      </c>
      <c r="M110" s="54" t="s">
        <v>1808</v>
      </c>
      <c r="N110" s="54">
        <v>0.56078549484703</v>
      </c>
      <c r="O110" s="54" t="s">
        <v>1808</v>
      </c>
      <c r="P110" s="54">
        <v>66.949888951834879</v>
      </c>
      <c r="Q110" s="54" t="s">
        <v>1807</v>
      </c>
      <c r="R110" s="54">
        <v>268.30913265508531</v>
      </c>
      <c r="S110" s="54" t="s">
        <v>1808</v>
      </c>
      <c r="T110" s="54">
        <v>3.9549050130516541</v>
      </c>
      <c r="U110" s="54" t="s">
        <v>1808</v>
      </c>
      <c r="V110" s="62">
        <v>965.08542205192771</v>
      </c>
      <c r="W110" s="10" t="s">
        <v>1808</v>
      </c>
    </row>
    <row r="111" spans="1:23" ht="25.2" customHeight="1" x14ac:dyDescent="0.3">
      <c r="A111" s="11"/>
      <c r="B111" s="24" t="s">
        <v>1352</v>
      </c>
      <c r="C111" s="17">
        <v>100</v>
      </c>
      <c r="D111" s="54">
        <v>7.2217961856222637</v>
      </c>
      <c r="E111" s="54" t="s">
        <v>1908</v>
      </c>
      <c r="F111" s="54">
        <v>2295.6048078452095</v>
      </c>
      <c r="G111" s="54" t="s">
        <v>1808</v>
      </c>
      <c r="H111" s="54">
        <v>8371.2024002913877</v>
      </c>
      <c r="I111" s="54" t="s">
        <v>1808</v>
      </c>
      <c r="J111" s="54">
        <v>32733.233710857079</v>
      </c>
      <c r="K111" s="54" t="s">
        <v>1808</v>
      </c>
      <c r="L111" s="54">
        <v>3.2597970348779821</v>
      </c>
      <c r="M111" s="54" t="s">
        <v>1808</v>
      </c>
      <c r="N111" s="54">
        <v>2.1251881105075392</v>
      </c>
      <c r="O111" s="54" t="s">
        <v>1808</v>
      </c>
      <c r="P111" s="54">
        <v>448.64136347854532</v>
      </c>
      <c r="Q111" s="54" t="s">
        <v>1808</v>
      </c>
      <c r="R111" s="54">
        <v>255.7758565850645</v>
      </c>
      <c r="S111" s="54" t="s">
        <v>1808</v>
      </c>
      <c r="T111" s="54">
        <v>132.65983528503043</v>
      </c>
      <c r="U111" s="54" t="s">
        <v>1808</v>
      </c>
      <c r="V111" s="62">
        <v>8454.6216727621395</v>
      </c>
      <c r="W111" s="10" t="s">
        <v>1808</v>
      </c>
    </row>
    <row r="112" spans="1:23" ht="25.2" customHeight="1" x14ac:dyDescent="0.3">
      <c r="A112" s="11"/>
      <c r="B112" s="24" t="s">
        <v>1352</v>
      </c>
      <c r="C112" s="18">
        <v>200</v>
      </c>
      <c r="D112" s="54">
        <v>24.474497939341319</v>
      </c>
      <c r="E112" s="54" t="s">
        <v>1908</v>
      </c>
      <c r="F112" s="54">
        <v>1597.7650742551039</v>
      </c>
      <c r="G112" s="54" t="s">
        <v>1808</v>
      </c>
      <c r="H112" s="54">
        <v>9143.5774735330215</v>
      </c>
      <c r="I112" s="54" t="s">
        <v>1808</v>
      </c>
      <c r="J112" s="54">
        <v>32059.295939638549</v>
      </c>
      <c r="K112" s="54" t="s">
        <v>1808</v>
      </c>
      <c r="L112" s="54">
        <v>4.1145522545630975</v>
      </c>
      <c r="M112" s="54" t="s">
        <v>1808</v>
      </c>
      <c r="N112" s="54">
        <v>1.5708564152990836</v>
      </c>
      <c r="O112" s="54" t="s">
        <v>1808</v>
      </c>
      <c r="P112" s="54">
        <v>273.68082151481144</v>
      </c>
      <c r="Q112" s="54" t="s">
        <v>1808</v>
      </c>
      <c r="R112" s="54">
        <v>293.78850092211007</v>
      </c>
      <c r="S112" s="54" t="s">
        <v>1808</v>
      </c>
      <c r="T112" s="54">
        <v>72.301418901947741</v>
      </c>
      <c r="U112" s="54" t="s">
        <v>1808</v>
      </c>
      <c r="V112" s="62">
        <v>8755.8068098891381</v>
      </c>
      <c r="W112" s="10" t="s">
        <v>1808</v>
      </c>
    </row>
    <row r="113" spans="1:23" ht="25.2" customHeight="1" x14ac:dyDescent="0.3">
      <c r="A113" s="11"/>
      <c r="B113" s="24" t="s">
        <v>1352</v>
      </c>
      <c r="C113" s="18">
        <v>300</v>
      </c>
      <c r="D113" s="54">
        <v>93.559736632131674</v>
      </c>
      <c r="E113" s="54" t="s">
        <v>1808</v>
      </c>
      <c r="F113" s="54">
        <v>802.35371916943848</v>
      </c>
      <c r="G113" s="54" t="s">
        <v>1808</v>
      </c>
      <c r="H113" s="54">
        <v>7109.6430162502447</v>
      </c>
      <c r="I113" s="54" t="s">
        <v>1808</v>
      </c>
      <c r="J113" s="54">
        <v>21778.488610503391</v>
      </c>
      <c r="K113" s="54" t="s">
        <v>1808</v>
      </c>
      <c r="L113" s="54">
        <v>5.8903841923026139</v>
      </c>
      <c r="M113" s="54" t="s">
        <v>1808</v>
      </c>
      <c r="N113" s="54">
        <v>1.0594066731149412</v>
      </c>
      <c r="O113" s="54" t="s">
        <v>1808</v>
      </c>
      <c r="P113" s="54">
        <v>128.19269891964549</v>
      </c>
      <c r="Q113" s="54" t="s">
        <v>1807</v>
      </c>
      <c r="R113" s="54">
        <v>402.81094853305194</v>
      </c>
      <c r="S113" s="54" t="s">
        <v>1808</v>
      </c>
      <c r="T113" s="54">
        <v>33.699888656513281</v>
      </c>
      <c r="U113" s="54" t="s">
        <v>1808</v>
      </c>
      <c r="V113" s="62">
        <v>3480.963794901355</v>
      </c>
      <c r="W113" s="10" t="s">
        <v>1808</v>
      </c>
    </row>
    <row r="114" spans="1:23" ht="25.2" customHeight="1" x14ac:dyDescent="0.3">
      <c r="A114" s="11"/>
      <c r="B114" s="24" t="s">
        <v>1352</v>
      </c>
      <c r="C114" s="17">
        <v>400</v>
      </c>
      <c r="D114" s="54">
        <v>10.20998564303072</v>
      </c>
      <c r="E114" s="54" t="s">
        <v>1908</v>
      </c>
      <c r="F114" s="54">
        <v>300.45747991011984</v>
      </c>
      <c r="G114" s="54" t="s">
        <v>1808</v>
      </c>
      <c r="H114" s="54">
        <v>1071.6914784617031</v>
      </c>
      <c r="I114" s="54" t="s">
        <v>1808</v>
      </c>
      <c r="J114" s="54">
        <v>11512.664584378419</v>
      </c>
      <c r="K114" s="54" t="s">
        <v>1808</v>
      </c>
      <c r="L114" s="54">
        <v>5.6116322016484901</v>
      </c>
      <c r="M114" s="54" t="s">
        <v>1808</v>
      </c>
      <c r="N114" s="54">
        <v>0.64127930512112419</v>
      </c>
      <c r="O114" s="54" t="s">
        <v>1808</v>
      </c>
      <c r="P114" s="54">
        <v>29.595338135630556</v>
      </c>
      <c r="Q114" s="54" t="s">
        <v>1908</v>
      </c>
      <c r="R114" s="54">
        <v>323.59652618593094</v>
      </c>
      <c r="S114" s="54" t="s">
        <v>1808</v>
      </c>
      <c r="T114" s="54">
        <v>15.86288246861656</v>
      </c>
      <c r="U114" s="54" t="s">
        <v>1808</v>
      </c>
      <c r="V114" s="62">
        <v>2345.4602207821176</v>
      </c>
      <c r="W114" s="10" t="s">
        <v>1808</v>
      </c>
    </row>
    <row r="115" spans="1:23" ht="25.2" customHeight="1" x14ac:dyDescent="0.3">
      <c r="A115" s="11"/>
      <c r="B115" s="24" t="s">
        <v>1353</v>
      </c>
      <c r="C115" s="18">
        <v>500</v>
      </c>
      <c r="D115" s="54" t="s">
        <v>1907</v>
      </c>
      <c r="E115" s="54" t="s">
        <v>1808</v>
      </c>
      <c r="F115" s="54">
        <v>92.407874751687388</v>
      </c>
      <c r="G115" s="54" t="s">
        <v>1808</v>
      </c>
      <c r="H115" s="54">
        <v>243.15615309710208</v>
      </c>
      <c r="I115" s="54" t="s">
        <v>1808</v>
      </c>
      <c r="J115" s="54">
        <v>1674.5463577006617</v>
      </c>
      <c r="K115" s="54" t="s">
        <v>1808</v>
      </c>
      <c r="L115" s="54">
        <v>4.0559642215195364</v>
      </c>
      <c r="M115" s="54" t="s">
        <v>1808</v>
      </c>
      <c r="N115" s="54">
        <v>0.29178920340639963</v>
      </c>
      <c r="O115" s="54" t="s">
        <v>1807</v>
      </c>
      <c r="P115" s="54" t="s">
        <v>1907</v>
      </c>
      <c r="Q115" s="54" t="s">
        <v>1808</v>
      </c>
      <c r="R115" s="54">
        <v>172.45102072745837</v>
      </c>
      <c r="S115" s="54" t="s">
        <v>1808</v>
      </c>
      <c r="T115" s="54">
        <v>5.1430481367302132</v>
      </c>
      <c r="U115" s="54" t="s">
        <v>1808</v>
      </c>
      <c r="V115" s="62">
        <v>1124.3488376816911</v>
      </c>
      <c r="W115" s="10" t="s">
        <v>1808</v>
      </c>
    </row>
    <row r="116" spans="1:23" ht="25.2" customHeight="1" x14ac:dyDescent="0.3">
      <c r="A116" s="11"/>
      <c r="B116" s="24" t="s">
        <v>1354</v>
      </c>
      <c r="C116" s="17">
        <v>100</v>
      </c>
      <c r="D116" s="54" t="s">
        <v>1907</v>
      </c>
      <c r="E116" s="54" t="s">
        <v>1808</v>
      </c>
      <c r="F116" s="54">
        <v>868.40867707693758</v>
      </c>
      <c r="G116" s="54" t="s">
        <v>1808</v>
      </c>
      <c r="H116" s="54">
        <v>9791.8338622379615</v>
      </c>
      <c r="I116" s="54" t="s">
        <v>1808</v>
      </c>
      <c r="J116" s="54">
        <v>23533.300763314521</v>
      </c>
      <c r="K116" s="54" t="s">
        <v>1808</v>
      </c>
      <c r="L116" s="54">
        <v>3.4851305751636339</v>
      </c>
      <c r="M116" s="54" t="s">
        <v>1808</v>
      </c>
      <c r="N116" s="54">
        <v>1.2675838042288143</v>
      </c>
      <c r="O116" s="54" t="s">
        <v>1808</v>
      </c>
      <c r="P116" s="54">
        <v>256.49815925123568</v>
      </c>
      <c r="Q116" s="54" t="s">
        <v>1808</v>
      </c>
      <c r="R116" s="54">
        <v>80.293340230779023</v>
      </c>
      <c r="S116" s="54" t="s">
        <v>1808</v>
      </c>
      <c r="T116" s="54">
        <v>191.54205826363358</v>
      </c>
      <c r="U116" s="54" t="s">
        <v>1808</v>
      </c>
      <c r="V116" s="62">
        <v>5022.43160996806</v>
      </c>
      <c r="W116" s="10" t="s">
        <v>1808</v>
      </c>
    </row>
    <row r="117" spans="1:23" ht="25.2" customHeight="1" x14ac:dyDescent="0.3">
      <c r="A117" s="11"/>
      <c r="B117" s="24" t="s">
        <v>1355</v>
      </c>
      <c r="C117" s="18">
        <v>200</v>
      </c>
      <c r="D117" s="54" t="s">
        <v>1907</v>
      </c>
      <c r="E117" s="54" t="s">
        <v>1808</v>
      </c>
      <c r="F117" s="54">
        <v>980.85634838791088</v>
      </c>
      <c r="G117" s="54" t="s">
        <v>1808</v>
      </c>
      <c r="H117" s="54">
        <v>7306.5675881423058</v>
      </c>
      <c r="I117" s="54" t="s">
        <v>1808</v>
      </c>
      <c r="J117" s="54">
        <v>24712.128717299711</v>
      </c>
      <c r="K117" s="54" t="s">
        <v>1808</v>
      </c>
      <c r="L117" s="54">
        <v>4.3149621902837749</v>
      </c>
      <c r="M117" s="54" t="s">
        <v>1808</v>
      </c>
      <c r="N117" s="54">
        <v>1.4012664919246949</v>
      </c>
      <c r="O117" s="54" t="s">
        <v>1808</v>
      </c>
      <c r="P117" s="54">
        <v>315.19516290513093</v>
      </c>
      <c r="Q117" s="54" t="s">
        <v>1808</v>
      </c>
      <c r="R117" s="54">
        <v>145.4321199132923</v>
      </c>
      <c r="S117" s="54" t="s">
        <v>1808</v>
      </c>
      <c r="T117" s="54">
        <v>201.33425798258068</v>
      </c>
      <c r="U117" s="54" t="s">
        <v>1808</v>
      </c>
      <c r="V117" s="62">
        <v>5515.6004035725646</v>
      </c>
      <c r="W117" s="10" t="s">
        <v>1808</v>
      </c>
    </row>
    <row r="118" spans="1:23" ht="25.2" customHeight="1" x14ac:dyDescent="0.3">
      <c r="A118" s="11"/>
      <c r="B118" s="24" t="s">
        <v>1355</v>
      </c>
      <c r="C118" s="18">
        <v>300</v>
      </c>
      <c r="D118" s="54">
        <v>43.162903713904491</v>
      </c>
      <c r="E118" s="54" t="s">
        <v>1807</v>
      </c>
      <c r="F118" s="54">
        <v>899.26596676229985</v>
      </c>
      <c r="G118" s="54" t="s">
        <v>1808</v>
      </c>
      <c r="H118" s="54">
        <v>5780.4256977877521</v>
      </c>
      <c r="I118" s="54" t="s">
        <v>1808</v>
      </c>
      <c r="J118" s="54">
        <v>21558.569234752576</v>
      </c>
      <c r="K118" s="54" t="s">
        <v>1808</v>
      </c>
      <c r="L118" s="54">
        <v>3.8419216466539243</v>
      </c>
      <c r="M118" s="54" t="s">
        <v>1808</v>
      </c>
      <c r="N118" s="54">
        <v>1.1379573739119075</v>
      </c>
      <c r="O118" s="54" t="s">
        <v>1808</v>
      </c>
      <c r="P118" s="54">
        <v>273.44060804929791</v>
      </c>
      <c r="Q118" s="54" t="s">
        <v>1808</v>
      </c>
      <c r="R118" s="54">
        <v>97.558317271902425</v>
      </c>
      <c r="S118" s="54" t="s">
        <v>1808</v>
      </c>
      <c r="T118" s="54">
        <v>160.8178777198676</v>
      </c>
      <c r="U118" s="54" t="s">
        <v>1808</v>
      </c>
      <c r="V118" s="62">
        <v>4830.9114419486523</v>
      </c>
      <c r="W118" s="10" t="s">
        <v>1808</v>
      </c>
    </row>
    <row r="119" spans="1:23" ht="25.2" customHeight="1" x14ac:dyDescent="0.3">
      <c r="A119" s="11"/>
      <c r="B119" s="24" t="s">
        <v>1355</v>
      </c>
      <c r="C119" s="17">
        <v>400</v>
      </c>
      <c r="D119" s="54">
        <v>26.198393904663103</v>
      </c>
      <c r="E119" s="54" t="s">
        <v>1807</v>
      </c>
      <c r="F119" s="54">
        <v>517.18866911884538</v>
      </c>
      <c r="G119" s="54" t="s">
        <v>1808</v>
      </c>
      <c r="H119" s="54">
        <v>3645.7520247383068</v>
      </c>
      <c r="I119" s="54" t="s">
        <v>1808</v>
      </c>
      <c r="J119" s="54">
        <v>11681.38188460176</v>
      </c>
      <c r="K119" s="54" t="s">
        <v>1808</v>
      </c>
      <c r="L119" s="54">
        <v>4.2276240577112976</v>
      </c>
      <c r="M119" s="54" t="s">
        <v>1808</v>
      </c>
      <c r="N119" s="54">
        <v>0.63930080099899156</v>
      </c>
      <c r="O119" s="54" t="s">
        <v>1808</v>
      </c>
      <c r="P119" s="54">
        <v>144.09731655182657</v>
      </c>
      <c r="Q119" s="54" t="s">
        <v>1807</v>
      </c>
      <c r="R119" s="54">
        <v>71.326125567117856</v>
      </c>
      <c r="S119" s="54" t="s">
        <v>1808</v>
      </c>
      <c r="T119" s="54">
        <v>77.621625175418757</v>
      </c>
      <c r="U119" s="54" t="s">
        <v>1808</v>
      </c>
      <c r="V119" s="62">
        <v>2662.0271286174648</v>
      </c>
      <c r="W119" s="10" t="s">
        <v>1808</v>
      </c>
    </row>
    <row r="120" spans="1:23" ht="25.2" customHeight="1" x14ac:dyDescent="0.3">
      <c r="A120" s="11"/>
      <c r="B120" s="24" t="s">
        <v>1355</v>
      </c>
      <c r="C120" s="18">
        <v>500</v>
      </c>
      <c r="D120" s="54" t="s">
        <v>1907</v>
      </c>
      <c r="E120" s="54" t="s">
        <v>1808</v>
      </c>
      <c r="F120" s="54">
        <v>355.68153865589795</v>
      </c>
      <c r="G120" s="54" t="s">
        <v>1808</v>
      </c>
      <c r="H120" s="54">
        <v>1923.5091085613715</v>
      </c>
      <c r="I120" s="54" t="s">
        <v>1808</v>
      </c>
      <c r="J120" s="54">
        <v>4367.8637154108646</v>
      </c>
      <c r="K120" s="54" t="s">
        <v>1808</v>
      </c>
      <c r="L120" s="54">
        <v>3.1379058795432262</v>
      </c>
      <c r="M120" s="54" t="s">
        <v>1808</v>
      </c>
      <c r="N120" s="54">
        <v>0.31721478326044278</v>
      </c>
      <c r="O120" s="54" t="s">
        <v>1807</v>
      </c>
      <c r="P120" s="54">
        <v>100.99039014663651</v>
      </c>
      <c r="Q120" s="54" t="s">
        <v>1807</v>
      </c>
      <c r="R120" s="54">
        <v>57.548856437018912</v>
      </c>
      <c r="S120" s="54" t="s">
        <v>1808</v>
      </c>
      <c r="T120" s="54">
        <v>50.852376275310533</v>
      </c>
      <c r="U120" s="54" t="s">
        <v>1808</v>
      </c>
      <c r="V120" s="62">
        <v>1986.2284655182393</v>
      </c>
      <c r="W120" s="10" t="s">
        <v>1808</v>
      </c>
    </row>
    <row r="121" spans="1:23" ht="25.2" customHeight="1" x14ac:dyDescent="0.3">
      <c r="A121" s="11"/>
      <c r="B121" s="24" t="s">
        <v>1356</v>
      </c>
      <c r="C121" s="17">
        <v>100</v>
      </c>
      <c r="D121" s="54">
        <v>2.4932719172794293</v>
      </c>
      <c r="E121" s="54" t="s">
        <v>1908</v>
      </c>
      <c r="F121" s="54">
        <v>1113.0579578688175</v>
      </c>
      <c r="G121" s="54" t="s">
        <v>1808</v>
      </c>
      <c r="H121" s="54">
        <v>20180.60382285322</v>
      </c>
      <c r="I121" s="54" t="s">
        <v>1808</v>
      </c>
      <c r="J121" s="54">
        <v>40774.642705087346</v>
      </c>
      <c r="K121" s="54" t="s">
        <v>1808</v>
      </c>
      <c r="L121" s="54">
        <v>4.9774653367715267</v>
      </c>
      <c r="M121" s="54" t="s">
        <v>1808</v>
      </c>
      <c r="N121" s="54">
        <v>4.4758386292503287</v>
      </c>
      <c r="O121" s="54" t="s">
        <v>1808</v>
      </c>
      <c r="P121" s="54">
        <v>619.48831039693152</v>
      </c>
      <c r="Q121" s="54" t="s">
        <v>1808</v>
      </c>
      <c r="R121" s="54">
        <v>92.417892877660606</v>
      </c>
      <c r="S121" s="54" t="s">
        <v>1808</v>
      </c>
      <c r="T121" s="54">
        <v>140.73939154595837</v>
      </c>
      <c r="U121" s="54" t="s">
        <v>1808</v>
      </c>
      <c r="V121" s="62">
        <v>12236.742751011388</v>
      </c>
      <c r="W121" s="10" t="s">
        <v>1808</v>
      </c>
    </row>
    <row r="122" spans="1:23" ht="25.2" customHeight="1" x14ac:dyDescent="0.3">
      <c r="A122" s="11"/>
      <c r="B122" s="24" t="s">
        <v>1356</v>
      </c>
      <c r="C122" s="18">
        <v>200</v>
      </c>
      <c r="D122" s="54">
        <v>69.128110615413547</v>
      </c>
      <c r="E122" s="54" t="s">
        <v>1807</v>
      </c>
      <c r="F122" s="54">
        <v>1713.2688886876758</v>
      </c>
      <c r="G122" s="54" t="s">
        <v>1808</v>
      </c>
      <c r="H122" s="54">
        <v>24140.923194320672</v>
      </c>
      <c r="I122" s="54" t="s">
        <v>1808</v>
      </c>
      <c r="J122" s="54">
        <v>68923.941867110101</v>
      </c>
      <c r="K122" s="54" t="s">
        <v>1808</v>
      </c>
      <c r="L122" s="54">
        <v>6.3338014974286354</v>
      </c>
      <c r="M122" s="54" t="s">
        <v>1808</v>
      </c>
      <c r="N122" s="54">
        <v>8.3102219499133589</v>
      </c>
      <c r="O122" s="54" t="s">
        <v>1808</v>
      </c>
      <c r="P122" s="54">
        <v>935.47120143002894</v>
      </c>
      <c r="Q122" s="54" t="s">
        <v>1808</v>
      </c>
      <c r="R122" s="54">
        <v>177.38088913653235</v>
      </c>
      <c r="S122" s="54" t="s">
        <v>1808</v>
      </c>
      <c r="T122" s="54">
        <v>181.87058951071467</v>
      </c>
      <c r="U122" s="54" t="s">
        <v>1808</v>
      </c>
      <c r="V122" s="62">
        <v>21925.903654310692</v>
      </c>
      <c r="W122" s="10" t="s">
        <v>1808</v>
      </c>
    </row>
    <row r="123" spans="1:23" ht="25.2" customHeight="1" x14ac:dyDescent="0.3">
      <c r="A123" s="11"/>
      <c r="B123" s="24" t="s">
        <v>1356</v>
      </c>
      <c r="C123" s="18">
        <v>300</v>
      </c>
      <c r="D123" s="54">
        <v>22.5473910015054</v>
      </c>
      <c r="E123" s="54" t="s">
        <v>1908</v>
      </c>
      <c r="F123" s="54">
        <v>760.96517336255442</v>
      </c>
      <c r="G123" s="54" t="s">
        <v>1808</v>
      </c>
      <c r="H123" s="54">
        <v>11401.425781499927</v>
      </c>
      <c r="I123" s="54" t="s">
        <v>1808</v>
      </c>
      <c r="J123" s="54">
        <v>29016.085222213991</v>
      </c>
      <c r="K123" s="54" t="s">
        <v>1808</v>
      </c>
      <c r="L123" s="54">
        <v>8.8323890096232383</v>
      </c>
      <c r="M123" s="54" t="s">
        <v>1808</v>
      </c>
      <c r="N123" s="54">
        <v>9.375765061153551</v>
      </c>
      <c r="O123" s="54" t="s">
        <v>1808</v>
      </c>
      <c r="P123" s="54">
        <v>365.45026736455452</v>
      </c>
      <c r="Q123" s="54" t="s">
        <v>1808</v>
      </c>
      <c r="R123" s="54">
        <v>158.51797780626245</v>
      </c>
      <c r="S123" s="54" t="s">
        <v>1808</v>
      </c>
      <c r="T123" s="54">
        <v>82.392500792669921</v>
      </c>
      <c r="U123" s="54" t="s">
        <v>1808</v>
      </c>
      <c r="V123" s="62">
        <v>10431.469903997946</v>
      </c>
      <c r="W123" s="10" t="s">
        <v>1808</v>
      </c>
    </row>
    <row r="124" spans="1:23" ht="25.2" customHeight="1" x14ac:dyDescent="0.3">
      <c r="A124" s="11"/>
      <c r="B124" s="24" t="s">
        <v>1356</v>
      </c>
      <c r="C124" s="17">
        <v>400</v>
      </c>
      <c r="D124" s="54" t="s">
        <v>1907</v>
      </c>
      <c r="E124" s="54" t="s">
        <v>1808</v>
      </c>
      <c r="F124" s="54">
        <v>115.1828911153264</v>
      </c>
      <c r="G124" s="54" t="s">
        <v>1808</v>
      </c>
      <c r="H124" s="54">
        <v>1265.9788382656104</v>
      </c>
      <c r="I124" s="54" t="s">
        <v>1808</v>
      </c>
      <c r="J124" s="54">
        <v>8937.1727011552302</v>
      </c>
      <c r="K124" s="54" t="s">
        <v>1808</v>
      </c>
      <c r="L124" s="54">
        <v>6.6361739472402181</v>
      </c>
      <c r="M124" s="54" t="s">
        <v>1808</v>
      </c>
      <c r="N124" s="54">
        <v>7.7482375417599965</v>
      </c>
      <c r="O124" s="54" t="s">
        <v>1808</v>
      </c>
      <c r="P124" s="54">
        <v>176.69831483500201</v>
      </c>
      <c r="Q124" s="54" t="s">
        <v>1807</v>
      </c>
      <c r="R124" s="54">
        <v>94.177205349176731</v>
      </c>
      <c r="S124" s="54" t="s">
        <v>1808</v>
      </c>
      <c r="T124" s="54">
        <v>157.37414501066715</v>
      </c>
      <c r="U124" s="54" t="s">
        <v>1808</v>
      </c>
      <c r="V124" s="62">
        <v>11170.334138034181</v>
      </c>
      <c r="W124" s="10" t="s">
        <v>1808</v>
      </c>
    </row>
    <row r="125" spans="1:23" ht="25.2" customHeight="1" x14ac:dyDescent="0.3">
      <c r="A125" s="11"/>
      <c r="B125" s="24" t="s">
        <v>1357</v>
      </c>
      <c r="C125" s="18">
        <v>500</v>
      </c>
      <c r="D125" s="54" t="s">
        <v>1907</v>
      </c>
      <c r="E125" s="54" t="s">
        <v>1808</v>
      </c>
      <c r="F125" s="54">
        <v>81.193931141227253</v>
      </c>
      <c r="G125" s="54" t="s">
        <v>1808</v>
      </c>
      <c r="H125" s="54">
        <v>2525.3554006971731</v>
      </c>
      <c r="I125" s="54" t="s">
        <v>1808</v>
      </c>
      <c r="J125" s="54">
        <v>20785.627423059999</v>
      </c>
      <c r="K125" s="54" t="s">
        <v>1808</v>
      </c>
      <c r="L125" s="54">
        <v>33.664749006559923</v>
      </c>
      <c r="M125" s="54" t="s">
        <v>1808</v>
      </c>
      <c r="N125" s="54">
        <v>25.151548736756567</v>
      </c>
      <c r="O125" s="54" t="s">
        <v>1808</v>
      </c>
      <c r="P125" s="54">
        <v>3508.5445406269268</v>
      </c>
      <c r="Q125" s="54" t="s">
        <v>1808</v>
      </c>
      <c r="R125" s="54">
        <v>435.02826683322314</v>
      </c>
      <c r="S125" s="54" t="s">
        <v>1808</v>
      </c>
      <c r="T125" s="54">
        <v>321.77646623663418</v>
      </c>
      <c r="U125" s="54" t="s">
        <v>1808</v>
      </c>
      <c r="V125" s="62">
        <v>19718.799552839049</v>
      </c>
      <c r="W125" s="10" t="s">
        <v>1808</v>
      </c>
    </row>
    <row r="126" spans="1:23" ht="25.2" customHeight="1" x14ac:dyDescent="0.3">
      <c r="A126" s="11"/>
      <c r="B126" s="24" t="s">
        <v>1358</v>
      </c>
      <c r="C126" s="17">
        <v>100</v>
      </c>
      <c r="D126" s="54">
        <v>14.936492514807268</v>
      </c>
      <c r="E126" s="54" t="s">
        <v>1908</v>
      </c>
      <c r="F126" s="54">
        <v>2191.3411121457484</v>
      </c>
      <c r="G126" s="54" t="s">
        <v>1808</v>
      </c>
      <c r="H126" s="54">
        <v>21498.145630100011</v>
      </c>
      <c r="I126" s="54" t="s">
        <v>1808</v>
      </c>
      <c r="J126" s="54">
        <v>55450.120658334228</v>
      </c>
      <c r="K126" s="54" t="s">
        <v>1808</v>
      </c>
      <c r="L126" s="54">
        <v>5.174018142081108</v>
      </c>
      <c r="M126" s="54" t="s">
        <v>1808</v>
      </c>
      <c r="N126" s="54">
        <v>9.2198440845391136</v>
      </c>
      <c r="O126" s="54" t="s">
        <v>1808</v>
      </c>
      <c r="P126" s="54">
        <v>1406.086090988219</v>
      </c>
      <c r="Q126" s="54" t="s">
        <v>1808</v>
      </c>
      <c r="R126" s="54">
        <v>150.56905113848754</v>
      </c>
      <c r="S126" s="54" t="s">
        <v>1808</v>
      </c>
      <c r="T126" s="54">
        <v>289.98628323805741</v>
      </c>
      <c r="U126" s="54" t="s">
        <v>1808</v>
      </c>
      <c r="V126" s="62">
        <v>51932.075858193988</v>
      </c>
      <c r="W126" s="10" t="s">
        <v>1808</v>
      </c>
    </row>
    <row r="127" spans="1:23" ht="25.2" customHeight="1" x14ac:dyDescent="0.3">
      <c r="A127" s="11"/>
      <c r="B127" s="10" t="s">
        <v>1358</v>
      </c>
      <c r="C127" s="18">
        <v>200</v>
      </c>
      <c r="D127" s="54">
        <v>4.0689815943054182</v>
      </c>
      <c r="E127" s="54" t="s">
        <v>1908</v>
      </c>
      <c r="F127" s="54">
        <v>387.72203259193509</v>
      </c>
      <c r="G127" s="54" t="s">
        <v>1808</v>
      </c>
      <c r="H127" s="54">
        <v>5383.6246463077332</v>
      </c>
      <c r="I127" s="54" t="s">
        <v>1808</v>
      </c>
      <c r="J127" s="54">
        <v>52629.333758644963</v>
      </c>
      <c r="K127" s="54" t="s">
        <v>1808</v>
      </c>
      <c r="L127" s="54">
        <v>6.322617035818916</v>
      </c>
      <c r="M127" s="54" t="s">
        <v>1808</v>
      </c>
      <c r="N127" s="54">
        <v>28.021288080962982</v>
      </c>
      <c r="O127" s="54" t="s">
        <v>1808</v>
      </c>
      <c r="P127" s="54">
        <v>879.23227326360495</v>
      </c>
      <c r="Q127" s="54" t="s">
        <v>1808</v>
      </c>
      <c r="R127" s="54">
        <v>185.74560298905013</v>
      </c>
      <c r="S127" s="54" t="s">
        <v>1808</v>
      </c>
      <c r="T127" s="54">
        <v>875.28038380029102</v>
      </c>
      <c r="U127" s="54" t="s">
        <v>1808</v>
      </c>
      <c r="V127" s="62">
        <v>42935.09151215438</v>
      </c>
      <c r="W127" s="10" t="s">
        <v>1808</v>
      </c>
    </row>
    <row r="128" spans="1:23" ht="25.2" customHeight="1" x14ac:dyDescent="0.3">
      <c r="A128" s="11"/>
      <c r="B128" s="10" t="s">
        <v>1359</v>
      </c>
      <c r="C128" s="18">
        <v>300</v>
      </c>
      <c r="D128" s="54">
        <v>6.3921260372989606</v>
      </c>
      <c r="E128" s="54" t="s">
        <v>1908</v>
      </c>
      <c r="F128" s="54">
        <v>391.41198764455646</v>
      </c>
      <c r="G128" s="54" t="s">
        <v>1808</v>
      </c>
      <c r="H128" s="54">
        <v>2744.6590526207751</v>
      </c>
      <c r="I128" s="54" t="s">
        <v>1808</v>
      </c>
      <c r="J128" s="54">
        <v>41751.144509468606</v>
      </c>
      <c r="K128" s="54" t="s">
        <v>1808</v>
      </c>
      <c r="L128" s="54">
        <v>7.2249112966711717</v>
      </c>
      <c r="M128" s="54" t="s">
        <v>1808</v>
      </c>
      <c r="N128" s="54">
        <v>23.399089759952897</v>
      </c>
      <c r="O128" s="54" t="s">
        <v>1808</v>
      </c>
      <c r="P128" s="54">
        <v>905.80663197395302</v>
      </c>
      <c r="Q128" s="54" t="s">
        <v>1808</v>
      </c>
      <c r="R128" s="54">
        <v>166.7280462996105</v>
      </c>
      <c r="S128" s="54" t="s">
        <v>1808</v>
      </c>
      <c r="T128" s="54">
        <v>502.23187850188441</v>
      </c>
      <c r="U128" s="54" t="s">
        <v>1808</v>
      </c>
      <c r="V128" s="62">
        <v>29020.114112402607</v>
      </c>
      <c r="W128" s="10" t="s">
        <v>1808</v>
      </c>
    </row>
    <row r="129" spans="1:23" ht="25.2" customHeight="1" x14ac:dyDescent="0.3">
      <c r="A129" s="11"/>
      <c r="B129" s="10" t="s">
        <v>1358</v>
      </c>
      <c r="C129" s="17">
        <v>400</v>
      </c>
      <c r="D129" s="54">
        <v>40.93856036295459</v>
      </c>
      <c r="E129" s="54" t="s">
        <v>1807</v>
      </c>
      <c r="F129" s="54">
        <v>171.8354152307528</v>
      </c>
      <c r="G129" s="54" t="s">
        <v>1808</v>
      </c>
      <c r="H129" s="54">
        <v>2055.8394374961149</v>
      </c>
      <c r="I129" s="54" t="s">
        <v>1808</v>
      </c>
      <c r="J129" s="54">
        <v>33086.300471652059</v>
      </c>
      <c r="K129" s="54" t="s">
        <v>1808</v>
      </c>
      <c r="L129" s="54">
        <v>6.0920654949546185</v>
      </c>
      <c r="M129" s="54" t="s">
        <v>1808</v>
      </c>
      <c r="N129" s="54">
        <v>24.43797710460569</v>
      </c>
      <c r="O129" s="54" t="s">
        <v>1808</v>
      </c>
      <c r="P129" s="54">
        <v>957.35604504949902</v>
      </c>
      <c r="Q129" s="54" t="s">
        <v>1808</v>
      </c>
      <c r="R129" s="54">
        <v>170.90007084586497</v>
      </c>
      <c r="S129" s="54" t="s">
        <v>1808</v>
      </c>
      <c r="T129" s="54">
        <v>326.90072349873719</v>
      </c>
      <c r="U129" s="54" t="s">
        <v>1808</v>
      </c>
      <c r="V129" s="62">
        <v>27847.446359057394</v>
      </c>
      <c r="W129" s="10" t="s">
        <v>1808</v>
      </c>
    </row>
    <row r="130" spans="1:23" ht="25.2" customHeight="1" x14ac:dyDescent="0.3">
      <c r="A130" s="11"/>
      <c r="B130" s="10" t="s">
        <v>1358</v>
      </c>
      <c r="C130" s="18">
        <v>500</v>
      </c>
      <c r="D130" s="54" t="s">
        <v>1907</v>
      </c>
      <c r="E130" s="54" t="s">
        <v>1808</v>
      </c>
      <c r="F130" s="54">
        <v>257.73740596692301</v>
      </c>
      <c r="G130" s="54" t="s">
        <v>1808</v>
      </c>
      <c r="H130" s="54">
        <v>6383.9558259366249</v>
      </c>
      <c r="I130" s="54" t="s">
        <v>1808</v>
      </c>
      <c r="J130" s="54">
        <v>12184.335608678595</v>
      </c>
      <c r="K130" s="54" t="s">
        <v>1808</v>
      </c>
      <c r="L130" s="54">
        <v>3.6068619379220888</v>
      </c>
      <c r="M130" s="54" t="s">
        <v>1808</v>
      </c>
      <c r="N130" s="54">
        <v>18.925392738248455</v>
      </c>
      <c r="O130" s="54" t="s">
        <v>1808</v>
      </c>
      <c r="P130" s="54">
        <v>381.46766965026882</v>
      </c>
      <c r="Q130" s="54" t="s">
        <v>1808</v>
      </c>
      <c r="R130" s="54">
        <v>182.52878383034383</v>
      </c>
      <c r="S130" s="54" t="s">
        <v>1808</v>
      </c>
      <c r="T130" s="54">
        <v>320.99729792236138</v>
      </c>
      <c r="U130" s="54" t="s">
        <v>1808</v>
      </c>
      <c r="V130" s="62">
        <v>27877.507460352699</v>
      </c>
      <c r="W130" s="10" t="s">
        <v>1808</v>
      </c>
    </row>
    <row r="131" spans="1:23" ht="25.2" customHeight="1" x14ac:dyDescent="0.3">
      <c r="A131" s="11"/>
      <c r="B131" s="10" t="s">
        <v>1360</v>
      </c>
      <c r="C131" s="17">
        <v>100</v>
      </c>
      <c r="D131" s="54" t="s">
        <v>1907</v>
      </c>
      <c r="E131" s="54" t="s">
        <v>1808</v>
      </c>
      <c r="F131" s="54">
        <v>923.68034166600125</v>
      </c>
      <c r="G131" s="54" t="s">
        <v>1808</v>
      </c>
      <c r="H131" s="54">
        <v>15365.240291563763</v>
      </c>
      <c r="I131" s="54" t="s">
        <v>1808</v>
      </c>
      <c r="J131" s="54">
        <v>32820.931442119021</v>
      </c>
      <c r="K131" s="54" t="s">
        <v>1808</v>
      </c>
      <c r="L131" s="54">
        <v>4.8514809992277996</v>
      </c>
      <c r="M131" s="54" t="s">
        <v>1808</v>
      </c>
      <c r="N131" s="54">
        <v>11.682899208880317</v>
      </c>
      <c r="O131" s="54" t="s">
        <v>1808</v>
      </c>
      <c r="P131" s="54">
        <v>468.70650745518378</v>
      </c>
      <c r="Q131" s="54" t="s">
        <v>1808</v>
      </c>
      <c r="R131" s="54">
        <v>115.03583825911107</v>
      </c>
      <c r="S131" s="54" t="s">
        <v>1808</v>
      </c>
      <c r="T131" s="54">
        <v>225.25332473316396</v>
      </c>
      <c r="U131" s="54" t="s">
        <v>1808</v>
      </c>
      <c r="V131" s="62">
        <v>12840.313366595361</v>
      </c>
      <c r="W131" s="10" t="s">
        <v>1808</v>
      </c>
    </row>
    <row r="132" spans="1:23" ht="25.2" customHeight="1" x14ac:dyDescent="0.3">
      <c r="A132" s="11"/>
      <c r="B132" s="10" t="s">
        <v>1360</v>
      </c>
      <c r="C132" s="18">
        <v>200</v>
      </c>
      <c r="D132" s="54" t="s">
        <v>1907</v>
      </c>
      <c r="E132" s="54" t="s">
        <v>1808</v>
      </c>
      <c r="F132" s="54">
        <v>274.31988182608262</v>
      </c>
      <c r="G132" s="54" t="s">
        <v>1808</v>
      </c>
      <c r="H132" s="54">
        <v>5217.9215404897859</v>
      </c>
      <c r="I132" s="54" t="s">
        <v>1808</v>
      </c>
      <c r="J132" s="54">
        <v>87466.108181973425</v>
      </c>
      <c r="K132" s="54" t="s">
        <v>1808</v>
      </c>
      <c r="L132" s="54">
        <v>7.612292489435653</v>
      </c>
      <c r="M132" s="54" t="s">
        <v>1808</v>
      </c>
      <c r="N132" s="54">
        <v>30.877280346810668</v>
      </c>
      <c r="O132" s="54" t="s">
        <v>1808</v>
      </c>
      <c r="P132" s="54">
        <v>665.97716331467086</v>
      </c>
      <c r="Q132" s="54" t="s">
        <v>1808</v>
      </c>
      <c r="R132" s="54">
        <v>165.22404361048805</v>
      </c>
      <c r="S132" s="54" t="s">
        <v>1808</v>
      </c>
      <c r="T132" s="54">
        <v>529.27038894390478</v>
      </c>
      <c r="U132" s="54" t="s">
        <v>1808</v>
      </c>
      <c r="V132" s="62">
        <v>42698.665904107402</v>
      </c>
      <c r="W132" s="10" t="s">
        <v>1808</v>
      </c>
    </row>
    <row r="133" spans="1:23" ht="25.2" customHeight="1" x14ac:dyDescent="0.3">
      <c r="A133" s="11"/>
      <c r="B133" s="10" t="s">
        <v>1361</v>
      </c>
      <c r="C133" s="18">
        <v>300</v>
      </c>
      <c r="D133" s="54" t="s">
        <v>1907</v>
      </c>
      <c r="E133" s="54" t="s">
        <v>1808</v>
      </c>
      <c r="F133" s="54">
        <v>246.06732207650379</v>
      </c>
      <c r="G133" s="54" t="s">
        <v>1808</v>
      </c>
      <c r="H133" s="54">
        <v>4507.3217404356246</v>
      </c>
      <c r="I133" s="54" t="s">
        <v>1808</v>
      </c>
      <c r="J133" s="54">
        <v>68420.787198389691</v>
      </c>
      <c r="K133" s="54" t="s">
        <v>1808</v>
      </c>
      <c r="L133" s="54">
        <v>9.4072193910412274</v>
      </c>
      <c r="M133" s="54" t="s">
        <v>1808</v>
      </c>
      <c r="N133" s="54">
        <v>24.570093678270936</v>
      </c>
      <c r="O133" s="54" t="s">
        <v>1808</v>
      </c>
      <c r="P133" s="54">
        <v>668.43634107815012</v>
      </c>
      <c r="Q133" s="54" t="s">
        <v>1808</v>
      </c>
      <c r="R133" s="54">
        <v>162.25188090707374</v>
      </c>
      <c r="S133" s="54" t="s">
        <v>1808</v>
      </c>
      <c r="T133" s="54">
        <v>413.93547236193609</v>
      </c>
      <c r="U133" s="54" t="s">
        <v>1808</v>
      </c>
      <c r="V133" s="62">
        <v>46420.281475014461</v>
      </c>
      <c r="W133" s="10" t="s">
        <v>1808</v>
      </c>
    </row>
    <row r="134" spans="1:23" ht="25.2" customHeight="1" x14ac:dyDescent="0.3">
      <c r="A134" s="11"/>
      <c r="B134" s="13" t="s">
        <v>1361</v>
      </c>
      <c r="C134" s="47">
        <v>400</v>
      </c>
      <c r="D134" s="59" t="s">
        <v>1907</v>
      </c>
      <c r="E134" s="59" t="s">
        <v>1808</v>
      </c>
      <c r="F134" s="59">
        <v>624.20839420748985</v>
      </c>
      <c r="G134" s="59" t="s">
        <v>1808</v>
      </c>
      <c r="H134" s="59">
        <v>1527.3129789783836</v>
      </c>
      <c r="I134" s="59" t="s">
        <v>1808</v>
      </c>
      <c r="J134" s="59">
        <v>10249.214945028216</v>
      </c>
      <c r="K134" s="59" t="s">
        <v>1808</v>
      </c>
      <c r="L134" s="59">
        <v>7.4297370639002347</v>
      </c>
      <c r="M134" s="59" t="s">
        <v>1808</v>
      </c>
      <c r="N134" s="59">
        <v>10.509578717478909</v>
      </c>
      <c r="O134" s="59" t="s">
        <v>1808</v>
      </c>
      <c r="P134" s="59">
        <v>35.794947750687903</v>
      </c>
      <c r="Q134" s="59" t="s">
        <v>1908</v>
      </c>
      <c r="R134" s="59">
        <v>108.59312094213402</v>
      </c>
      <c r="S134" s="59" t="s">
        <v>1808</v>
      </c>
      <c r="T134" s="59">
        <v>73.401357436509656</v>
      </c>
      <c r="U134" s="59" t="s">
        <v>1808</v>
      </c>
      <c r="V134" s="63">
        <v>7240.3474186495314</v>
      </c>
      <c r="W134" s="13" t="s">
        <v>1808</v>
      </c>
    </row>
    <row r="135" spans="1:23" ht="25.2" customHeight="1" x14ac:dyDescent="0.3">
      <c r="A135" s="11"/>
      <c r="B135" s="10" t="s">
        <v>692</v>
      </c>
      <c r="C135" s="17" t="s">
        <v>566</v>
      </c>
      <c r="D135" s="54">
        <v>1.2748650904163925</v>
      </c>
      <c r="E135" s="54"/>
      <c r="F135" s="54">
        <v>23.839240837815559</v>
      </c>
      <c r="G135" s="54"/>
      <c r="H135" s="54">
        <v>1.1878303471231129</v>
      </c>
      <c r="I135" s="54"/>
      <c r="J135" s="54">
        <v>15.227531821127556</v>
      </c>
      <c r="K135" s="54"/>
      <c r="L135" s="54">
        <v>0.80497701612016703</v>
      </c>
      <c r="M135" s="54"/>
      <c r="N135" s="54">
        <v>2.2246904427041191E-3</v>
      </c>
      <c r="O135" s="54"/>
      <c r="P135" s="54">
        <v>1.0330649086227064</v>
      </c>
      <c r="Q135" s="54"/>
      <c r="R135" s="54">
        <v>0.3188454797481759</v>
      </c>
      <c r="S135" s="54"/>
      <c r="T135" s="54">
        <v>1.9316183767313056E-3</v>
      </c>
      <c r="U135" s="54"/>
      <c r="V135" s="54">
        <v>0.6963656281380457</v>
      </c>
    </row>
    <row r="136" spans="1:23" ht="25.2" customHeight="1" x14ac:dyDescent="0.3">
      <c r="A136" s="11"/>
      <c r="C136" s="17" t="s">
        <v>565</v>
      </c>
      <c r="D136" s="54">
        <v>4889.7576576447518</v>
      </c>
      <c r="E136" s="54"/>
      <c r="F136" s="54">
        <v>19002.192496761938</v>
      </c>
      <c r="G136" s="54"/>
      <c r="H136" s="54">
        <v>24140.923194320672</v>
      </c>
      <c r="I136" s="54"/>
      <c r="J136" s="54">
        <v>87466.108181973425</v>
      </c>
      <c r="K136" s="54"/>
      <c r="L136" s="54">
        <v>33.664749006559923</v>
      </c>
      <c r="M136" s="54"/>
      <c r="N136" s="54">
        <v>30.877280346810668</v>
      </c>
      <c r="O136" s="54"/>
      <c r="P136" s="54">
        <v>3508.5445406269268</v>
      </c>
      <c r="Q136" s="54"/>
      <c r="R136" s="54">
        <v>2297.8342630106754</v>
      </c>
      <c r="S136" s="54"/>
      <c r="T136" s="54">
        <v>875.28038380029102</v>
      </c>
      <c r="U136" s="54"/>
      <c r="V136" s="54">
        <v>51932.075858193988</v>
      </c>
    </row>
    <row r="137" spans="1:23" ht="25.2" customHeight="1" x14ac:dyDescent="0.3">
      <c r="A137" s="11"/>
      <c r="C137" s="17" t="s">
        <v>493</v>
      </c>
      <c r="D137" s="54">
        <v>96.503430712931134</v>
      </c>
      <c r="E137" s="54"/>
      <c r="F137" s="54">
        <v>413.38128096246726</v>
      </c>
      <c r="G137" s="54"/>
      <c r="H137" s="54">
        <v>29.831523931202234</v>
      </c>
      <c r="I137" s="54"/>
      <c r="J137" s="54">
        <v>212.10484597234475</v>
      </c>
      <c r="K137" s="54"/>
      <c r="L137" s="54">
        <v>2.7778510151634324</v>
      </c>
      <c r="M137" s="54"/>
      <c r="N137" s="54">
        <v>0.1581519826093252</v>
      </c>
      <c r="O137" s="54"/>
      <c r="P137" s="54">
        <v>20.115760758211856</v>
      </c>
      <c r="Q137" s="54"/>
      <c r="R137" s="54">
        <v>112.12908288559356</v>
      </c>
      <c r="S137" s="54"/>
      <c r="T137" s="54">
        <v>0.13237033557089509</v>
      </c>
      <c r="U137" s="54"/>
      <c r="V137" s="54">
        <v>16.146099724716056</v>
      </c>
    </row>
    <row r="138" spans="1:23" ht="25.2" customHeight="1" x14ac:dyDescent="0.3">
      <c r="A138" s="11"/>
      <c r="C138" s="17" t="s">
        <v>838</v>
      </c>
      <c r="D138" s="54">
        <v>31.834128577216134</v>
      </c>
      <c r="E138" s="54"/>
      <c r="F138" s="54">
        <v>152.13921263982175</v>
      </c>
      <c r="G138" s="54"/>
      <c r="H138" s="54">
        <v>12.316774860158182</v>
      </c>
      <c r="I138" s="54"/>
      <c r="J138" s="54">
        <v>86.76986796320648</v>
      </c>
      <c r="K138" s="54"/>
      <c r="L138" s="54">
        <v>1.6007578043675967</v>
      </c>
      <c r="M138" s="54"/>
      <c r="N138" s="54">
        <v>5.1982407080291448E-2</v>
      </c>
      <c r="O138" s="54"/>
      <c r="P138" s="54">
        <v>6.9809879565232071</v>
      </c>
      <c r="Q138" s="54"/>
      <c r="R138" s="54">
        <v>1.6744947351029018</v>
      </c>
      <c r="S138" s="54"/>
      <c r="T138" s="54">
        <v>6.0095639891534033E-2</v>
      </c>
      <c r="U138" s="54"/>
      <c r="V138" s="54">
        <v>6.0963377590084518</v>
      </c>
    </row>
    <row r="139" spans="1:23" ht="25.2" customHeight="1" x14ac:dyDescent="0.3">
      <c r="A139" s="11"/>
      <c r="C139" s="17" t="s">
        <v>839</v>
      </c>
      <c r="D139" s="54">
        <v>208.29581153719954</v>
      </c>
      <c r="E139" s="54"/>
      <c r="F139" s="54">
        <v>1029.4722705564391</v>
      </c>
      <c r="G139" s="54"/>
      <c r="H139" s="54">
        <v>797.49625052837007</v>
      </c>
      <c r="I139" s="54"/>
      <c r="J139" s="54">
        <v>2095.1574113403653</v>
      </c>
      <c r="K139" s="54"/>
      <c r="L139" s="54">
        <v>5.351314154587743</v>
      </c>
      <c r="M139" s="54"/>
      <c r="N139" s="54">
        <v>0.721065628284695</v>
      </c>
      <c r="O139" s="54"/>
      <c r="P139" s="54">
        <v>83.824000970318025</v>
      </c>
      <c r="Q139" s="54"/>
      <c r="R139" s="54">
        <v>300.69151918853072</v>
      </c>
      <c r="S139" s="54"/>
      <c r="T139" s="54">
        <v>2.6752848677400287</v>
      </c>
      <c r="U139" s="54"/>
      <c r="V139" s="54">
        <v>1076.8746982250022</v>
      </c>
    </row>
    <row r="140" spans="1:23" ht="25.2" customHeight="1" x14ac:dyDescent="0.3">
      <c r="C140" s="11" t="s">
        <v>494</v>
      </c>
      <c r="D140" s="54">
        <v>280.17098713005851</v>
      </c>
      <c r="E140" s="54"/>
      <c r="F140" s="54">
        <v>1303.6208741643825</v>
      </c>
      <c r="G140" s="54"/>
      <c r="H140" s="54">
        <v>1725.5539058512675</v>
      </c>
      <c r="I140" s="54"/>
      <c r="J140" s="54">
        <v>6701.2289640627814</v>
      </c>
      <c r="K140" s="54"/>
      <c r="L140" s="54">
        <v>3.9843085574138875</v>
      </c>
      <c r="M140" s="54"/>
      <c r="N140" s="54">
        <v>2.4313781636181941</v>
      </c>
      <c r="O140" s="54"/>
      <c r="P140" s="54">
        <v>155.06142285053915</v>
      </c>
      <c r="Q140" s="54"/>
      <c r="R140" s="54">
        <v>228.16569949491262</v>
      </c>
      <c r="S140" s="54"/>
      <c r="T140" s="54">
        <v>48.011186203814738</v>
      </c>
      <c r="U140" s="54"/>
      <c r="V140" s="54">
        <v>3833.4116040444069</v>
      </c>
    </row>
    <row r="141" spans="1:23" ht="25.2" customHeight="1" x14ac:dyDescent="0.3">
      <c r="B141" s="13"/>
      <c r="C141" s="14" t="s">
        <v>501</v>
      </c>
      <c r="D141" s="59">
        <v>603.96025476500108</v>
      </c>
      <c r="E141" s="59"/>
      <c r="F141" s="59">
        <v>2709.6588646176897</v>
      </c>
      <c r="G141" s="59"/>
      <c r="H141" s="59">
        <v>4203.8703335196687</v>
      </c>
      <c r="I141" s="59"/>
      <c r="J141" s="59">
        <v>15370.459347073978</v>
      </c>
      <c r="K141" s="59"/>
      <c r="L141" s="59">
        <v>3.7315596862188998</v>
      </c>
      <c r="M141" s="59"/>
      <c r="N141" s="59">
        <v>6.290362073763494</v>
      </c>
      <c r="O141" s="59"/>
      <c r="P141" s="59">
        <v>406.99978405742769</v>
      </c>
      <c r="Q141" s="59"/>
      <c r="R141" s="59">
        <v>370.11019922066839</v>
      </c>
      <c r="S141" s="59"/>
      <c r="T141" s="59">
        <v>128.54488162801297</v>
      </c>
      <c r="U141" s="59"/>
      <c r="V141" s="59">
        <v>9958.1649783181965</v>
      </c>
      <c r="W141" s="13"/>
    </row>
    <row r="142" spans="1:23" ht="25.2" customHeight="1" x14ac:dyDescent="0.3">
      <c r="B142" s="16" t="s">
        <v>516</v>
      </c>
      <c r="C142" s="17">
        <v>100</v>
      </c>
      <c r="D142" s="11" t="s">
        <v>1048</v>
      </c>
      <c r="E142" s="54" t="s">
        <v>1908</v>
      </c>
      <c r="F142" s="11" t="s">
        <v>1049</v>
      </c>
      <c r="G142" s="11" t="s">
        <v>1808</v>
      </c>
      <c r="H142" s="11" t="s">
        <v>1050</v>
      </c>
      <c r="I142" s="54" t="s">
        <v>1807</v>
      </c>
      <c r="J142" s="11" t="s">
        <v>1051</v>
      </c>
      <c r="K142" s="54" t="s">
        <v>1807</v>
      </c>
      <c r="L142" s="11" t="s">
        <v>1052</v>
      </c>
      <c r="M142" s="11" t="s">
        <v>1808</v>
      </c>
      <c r="N142" s="11" t="s">
        <v>134</v>
      </c>
      <c r="O142" s="54" t="s">
        <v>1908</v>
      </c>
      <c r="P142" s="11" t="s">
        <v>1830</v>
      </c>
      <c r="Q142" s="54" t="s">
        <v>1908</v>
      </c>
      <c r="R142" s="11" t="s">
        <v>1054</v>
      </c>
      <c r="S142" s="54" t="s">
        <v>1908</v>
      </c>
      <c r="T142" s="11" t="s">
        <v>1055</v>
      </c>
      <c r="U142" s="54" t="s">
        <v>1908</v>
      </c>
      <c r="V142" s="11" t="s">
        <v>1056</v>
      </c>
      <c r="W142" s="54" t="s">
        <v>1908</v>
      </c>
    </row>
    <row r="143" spans="1:23" ht="25.2" customHeight="1" x14ac:dyDescent="0.3">
      <c r="B143" s="16" t="s">
        <v>516</v>
      </c>
      <c r="C143" s="18">
        <v>200</v>
      </c>
      <c r="D143" s="11" t="s">
        <v>1057</v>
      </c>
      <c r="E143" s="54" t="s">
        <v>1807</v>
      </c>
      <c r="F143" s="11" t="s">
        <v>1058</v>
      </c>
      <c r="G143" s="11" t="s">
        <v>1808</v>
      </c>
      <c r="H143" s="11" t="s">
        <v>1059</v>
      </c>
      <c r="I143" s="54" t="s">
        <v>1807</v>
      </c>
      <c r="J143" s="11" t="s">
        <v>1060</v>
      </c>
      <c r="K143" s="11" t="s">
        <v>1808</v>
      </c>
      <c r="L143" s="11" t="s">
        <v>1061</v>
      </c>
      <c r="M143" s="11" t="s">
        <v>1808</v>
      </c>
      <c r="N143" s="11" t="s">
        <v>1826</v>
      </c>
      <c r="O143" s="54" t="s">
        <v>1807</v>
      </c>
      <c r="P143" s="11" t="s">
        <v>1831</v>
      </c>
      <c r="Q143" s="54" t="s">
        <v>1908</v>
      </c>
      <c r="R143" s="11" t="s">
        <v>1062</v>
      </c>
      <c r="S143" s="54" t="s">
        <v>1908</v>
      </c>
      <c r="T143" s="11" t="s">
        <v>64</v>
      </c>
      <c r="U143" s="54" t="s">
        <v>1908</v>
      </c>
      <c r="V143" s="11" t="s">
        <v>1063</v>
      </c>
      <c r="W143" s="54" t="s">
        <v>1908</v>
      </c>
    </row>
    <row r="144" spans="1:23" ht="25.2" customHeight="1" x14ac:dyDescent="0.3">
      <c r="B144" s="16" t="s">
        <v>516</v>
      </c>
      <c r="C144" s="18">
        <v>300</v>
      </c>
      <c r="D144" s="11" t="s">
        <v>1064</v>
      </c>
      <c r="E144" s="11" t="s">
        <v>1808</v>
      </c>
      <c r="F144" s="11" t="s">
        <v>1065</v>
      </c>
      <c r="G144" s="11" t="s">
        <v>1808</v>
      </c>
      <c r="H144" s="11" t="s">
        <v>1066</v>
      </c>
      <c r="I144" s="54" t="s">
        <v>1807</v>
      </c>
      <c r="J144" s="11" t="s">
        <v>1067</v>
      </c>
      <c r="K144" s="11" t="s">
        <v>1808</v>
      </c>
      <c r="L144" s="11" t="s">
        <v>1068</v>
      </c>
      <c r="M144" s="11" t="s">
        <v>1808</v>
      </c>
      <c r="N144" s="11" t="s">
        <v>1827</v>
      </c>
      <c r="O144" s="54" t="s">
        <v>1908</v>
      </c>
      <c r="P144" s="11" t="s">
        <v>1832</v>
      </c>
      <c r="Q144" s="54" t="s">
        <v>1908</v>
      </c>
      <c r="R144" s="11" t="s">
        <v>1070</v>
      </c>
      <c r="S144" s="54" t="s">
        <v>1908</v>
      </c>
      <c r="T144" s="11" t="s">
        <v>215</v>
      </c>
      <c r="U144" s="54" t="s">
        <v>1908</v>
      </c>
      <c r="V144" s="11" t="s">
        <v>1071</v>
      </c>
      <c r="W144" s="54" t="s">
        <v>1908</v>
      </c>
    </row>
    <row r="145" spans="2:23" ht="25.2" customHeight="1" x14ac:dyDescent="0.3">
      <c r="B145" s="16" t="s">
        <v>516</v>
      </c>
      <c r="C145" s="17">
        <v>400</v>
      </c>
      <c r="D145" s="11" t="s">
        <v>1072</v>
      </c>
      <c r="E145" s="11" t="s">
        <v>1808</v>
      </c>
      <c r="F145" s="11" t="s">
        <v>1073</v>
      </c>
      <c r="G145" s="11" t="s">
        <v>1808</v>
      </c>
      <c r="H145" s="11" t="s">
        <v>1074</v>
      </c>
      <c r="I145" s="54" t="s">
        <v>1807</v>
      </c>
      <c r="J145" s="11" t="s">
        <v>1075</v>
      </c>
      <c r="K145" s="11" t="s">
        <v>1808</v>
      </c>
      <c r="L145" s="11" t="s">
        <v>1076</v>
      </c>
      <c r="M145" s="11" t="s">
        <v>1808</v>
      </c>
      <c r="N145" s="11" t="s">
        <v>63</v>
      </c>
      <c r="O145" s="54" t="s">
        <v>1908</v>
      </c>
      <c r="P145" s="11" t="s">
        <v>1833</v>
      </c>
      <c r="Q145" s="54" t="s">
        <v>1908</v>
      </c>
      <c r="R145" s="11" t="s">
        <v>1077</v>
      </c>
      <c r="S145" s="54" t="s">
        <v>1908</v>
      </c>
      <c r="T145" s="11" t="s">
        <v>80</v>
      </c>
      <c r="U145" s="54" t="s">
        <v>1908</v>
      </c>
      <c r="V145" s="11" t="s">
        <v>1078</v>
      </c>
      <c r="W145" s="54" t="s">
        <v>1908</v>
      </c>
    </row>
    <row r="146" spans="2:23" ht="25.2" customHeight="1" x14ac:dyDescent="0.3">
      <c r="B146" s="16" t="s">
        <v>516</v>
      </c>
      <c r="C146" s="18">
        <v>500</v>
      </c>
      <c r="D146" s="11" t="s">
        <v>1079</v>
      </c>
      <c r="E146" s="11" t="s">
        <v>1808</v>
      </c>
      <c r="F146" s="11" t="s">
        <v>1080</v>
      </c>
      <c r="G146" s="11" t="s">
        <v>1808</v>
      </c>
      <c r="H146" s="11" t="s">
        <v>1081</v>
      </c>
      <c r="I146" s="54" t="s">
        <v>1807</v>
      </c>
      <c r="J146" s="11" t="s">
        <v>1082</v>
      </c>
      <c r="K146" s="11" t="s">
        <v>1808</v>
      </c>
      <c r="L146" s="11" t="s">
        <v>1083</v>
      </c>
      <c r="M146" s="11" t="s">
        <v>1808</v>
      </c>
      <c r="N146" s="11" t="s">
        <v>99</v>
      </c>
      <c r="O146" s="54" t="s">
        <v>1908</v>
      </c>
      <c r="P146" s="11" t="s">
        <v>1834</v>
      </c>
      <c r="Q146" s="54" t="s">
        <v>1908</v>
      </c>
      <c r="R146" s="11" t="s">
        <v>1084</v>
      </c>
      <c r="S146" s="54" t="s">
        <v>1908</v>
      </c>
      <c r="T146" s="11" t="s">
        <v>99</v>
      </c>
      <c r="U146" s="54" t="s">
        <v>1908</v>
      </c>
      <c r="V146" s="11" t="s">
        <v>1085</v>
      </c>
      <c r="W146" s="54" t="s">
        <v>1908</v>
      </c>
    </row>
    <row r="147" spans="2:23" ht="25.2" customHeight="1" x14ac:dyDescent="0.3">
      <c r="B147" s="16"/>
      <c r="C147" s="18"/>
      <c r="D147" s="11"/>
      <c r="E147" s="11"/>
      <c r="F147" s="11"/>
      <c r="G147" s="11"/>
      <c r="H147" s="11"/>
      <c r="I147" s="11"/>
      <c r="J147" s="11"/>
      <c r="K147" s="11"/>
      <c r="L147" s="11"/>
      <c r="M147" s="11"/>
      <c r="N147" s="11"/>
      <c r="O147" s="11"/>
      <c r="P147" s="11"/>
      <c r="Q147" s="11"/>
      <c r="R147" s="11"/>
      <c r="S147" s="11"/>
      <c r="T147" s="11"/>
      <c r="U147" s="11"/>
      <c r="V147" s="11"/>
    </row>
    <row r="148" spans="2:23" ht="25.2" customHeight="1" x14ac:dyDescent="0.3">
      <c r="B148" s="16" t="s">
        <v>1020</v>
      </c>
      <c r="C148" s="17">
        <v>100</v>
      </c>
      <c r="D148" s="11" t="s">
        <v>1086</v>
      </c>
      <c r="E148" s="11" t="s">
        <v>1808</v>
      </c>
      <c r="F148" s="11" t="s">
        <v>1087</v>
      </c>
      <c r="G148" s="11" t="s">
        <v>1808</v>
      </c>
      <c r="H148" s="11" t="s">
        <v>1088</v>
      </c>
      <c r="I148" s="54" t="s">
        <v>1807</v>
      </c>
      <c r="J148" s="11" t="s">
        <v>1089</v>
      </c>
      <c r="K148" s="54" t="s">
        <v>1908</v>
      </c>
      <c r="L148" s="11" t="s">
        <v>1090</v>
      </c>
      <c r="M148" s="11" t="s">
        <v>1808</v>
      </c>
      <c r="N148" s="11" t="s">
        <v>63</v>
      </c>
      <c r="O148" s="54" t="s">
        <v>1908</v>
      </c>
      <c r="P148" s="11" t="s">
        <v>1835</v>
      </c>
      <c r="Q148" s="54" t="s">
        <v>1908</v>
      </c>
      <c r="R148" s="11" t="s">
        <v>1091</v>
      </c>
      <c r="S148" s="54" t="s">
        <v>1807</v>
      </c>
      <c r="T148" s="11" t="s">
        <v>1053</v>
      </c>
      <c r="U148" s="54" t="s">
        <v>1908</v>
      </c>
      <c r="V148" s="11" t="s">
        <v>1842</v>
      </c>
      <c r="W148" s="54" t="s">
        <v>1908</v>
      </c>
    </row>
    <row r="149" spans="2:23" ht="25.2" customHeight="1" x14ac:dyDescent="0.3">
      <c r="B149" s="16" t="s">
        <v>1020</v>
      </c>
      <c r="C149" s="18">
        <v>200</v>
      </c>
      <c r="D149" s="11" t="s">
        <v>1092</v>
      </c>
      <c r="E149" s="11" t="s">
        <v>1808</v>
      </c>
      <c r="F149" s="11" t="s">
        <v>1093</v>
      </c>
      <c r="G149" s="11" t="s">
        <v>1808</v>
      </c>
      <c r="H149" s="11" t="s">
        <v>1382</v>
      </c>
      <c r="I149" s="54" t="s">
        <v>1807</v>
      </c>
      <c r="J149" s="11" t="s">
        <v>1383</v>
      </c>
      <c r="K149" s="54" t="s">
        <v>1807</v>
      </c>
      <c r="L149" s="11" t="s">
        <v>1094</v>
      </c>
      <c r="M149" s="11" t="s">
        <v>1808</v>
      </c>
      <c r="N149" s="11" t="s">
        <v>1095</v>
      </c>
      <c r="O149" s="54" t="s">
        <v>1808</v>
      </c>
      <c r="P149" s="11" t="s">
        <v>1836</v>
      </c>
      <c r="Q149" s="54" t="s">
        <v>1908</v>
      </c>
      <c r="R149" s="11" t="s">
        <v>1096</v>
      </c>
      <c r="S149" s="54" t="s">
        <v>1807</v>
      </c>
      <c r="T149" s="11" t="s">
        <v>1097</v>
      </c>
      <c r="U149" s="54" t="s">
        <v>1908</v>
      </c>
      <c r="V149" s="11" t="s">
        <v>1384</v>
      </c>
      <c r="W149" s="54" t="s">
        <v>1908</v>
      </c>
    </row>
    <row r="150" spans="2:23" ht="25.2" customHeight="1" x14ac:dyDescent="0.3">
      <c r="B150" s="16" t="s">
        <v>1020</v>
      </c>
      <c r="C150" s="18">
        <v>300</v>
      </c>
      <c r="D150" s="11" t="s">
        <v>1098</v>
      </c>
      <c r="E150" s="11" t="s">
        <v>1808</v>
      </c>
      <c r="F150" s="11" t="s">
        <v>1099</v>
      </c>
      <c r="G150" s="11" t="s">
        <v>1808</v>
      </c>
      <c r="H150" s="11" t="s">
        <v>1100</v>
      </c>
      <c r="I150" s="54" t="s">
        <v>1807</v>
      </c>
      <c r="J150" s="11" t="s">
        <v>1101</v>
      </c>
      <c r="K150" s="54" t="s">
        <v>1908</v>
      </c>
      <c r="L150" s="11" t="s">
        <v>1102</v>
      </c>
      <c r="M150" s="11" t="s">
        <v>1808</v>
      </c>
      <c r="N150" s="11" t="s">
        <v>1111</v>
      </c>
      <c r="O150" s="54" t="s">
        <v>1908</v>
      </c>
      <c r="P150" s="11" t="s">
        <v>1837</v>
      </c>
      <c r="Q150" s="54" t="s">
        <v>1908</v>
      </c>
      <c r="R150" s="11" t="s">
        <v>1103</v>
      </c>
      <c r="S150" s="54" t="s">
        <v>1807</v>
      </c>
      <c r="T150" s="11" t="s">
        <v>66</v>
      </c>
      <c r="U150" s="54" t="s">
        <v>1908</v>
      </c>
      <c r="V150" s="11" t="s">
        <v>1104</v>
      </c>
      <c r="W150" s="54" t="s">
        <v>1908</v>
      </c>
    </row>
    <row r="151" spans="2:23" ht="25.2" customHeight="1" x14ac:dyDescent="0.3">
      <c r="B151" s="16" t="s">
        <v>1020</v>
      </c>
      <c r="C151" s="17">
        <v>400</v>
      </c>
      <c r="D151" s="11" t="s">
        <v>1105</v>
      </c>
      <c r="E151" s="11" t="s">
        <v>1808</v>
      </c>
      <c r="F151" s="11" t="s">
        <v>1106</v>
      </c>
      <c r="G151" s="11" t="s">
        <v>1808</v>
      </c>
      <c r="H151" s="11" t="s">
        <v>1107</v>
      </c>
      <c r="I151" s="54" t="s">
        <v>1807</v>
      </c>
      <c r="J151" s="11" t="s">
        <v>1108</v>
      </c>
      <c r="K151" s="54" t="s">
        <v>1908</v>
      </c>
      <c r="L151" s="11" t="s">
        <v>1109</v>
      </c>
      <c r="M151" s="11" t="s">
        <v>1808</v>
      </c>
      <c r="N151" s="11" t="s">
        <v>134</v>
      </c>
      <c r="O151" s="54" t="s">
        <v>1908</v>
      </c>
      <c r="P151" s="11" t="s">
        <v>63</v>
      </c>
      <c r="Q151" s="54" t="s">
        <v>1908</v>
      </c>
      <c r="R151" s="11" t="s">
        <v>1110</v>
      </c>
      <c r="S151" s="54" t="s">
        <v>1807</v>
      </c>
      <c r="T151" s="11" t="s">
        <v>1111</v>
      </c>
      <c r="U151" s="54" t="s">
        <v>1908</v>
      </c>
      <c r="V151" s="11" t="s">
        <v>1843</v>
      </c>
      <c r="W151" s="54" t="s">
        <v>1908</v>
      </c>
    </row>
    <row r="152" spans="2:23" ht="25.2" customHeight="1" x14ac:dyDescent="0.3">
      <c r="B152" s="16" t="s">
        <v>1020</v>
      </c>
      <c r="C152" s="18">
        <v>500</v>
      </c>
      <c r="D152" s="11" t="s">
        <v>1112</v>
      </c>
      <c r="E152" s="11" t="s">
        <v>1808</v>
      </c>
      <c r="F152" s="11" t="s">
        <v>1113</v>
      </c>
      <c r="G152" s="11" t="s">
        <v>1808</v>
      </c>
      <c r="H152" s="11" t="s">
        <v>1114</v>
      </c>
      <c r="I152" s="54" t="s">
        <v>1807</v>
      </c>
      <c r="J152" s="11" t="s">
        <v>1115</v>
      </c>
      <c r="K152" s="54" t="s">
        <v>1807</v>
      </c>
      <c r="L152" s="11" t="s">
        <v>1116</v>
      </c>
      <c r="M152" s="11" t="s">
        <v>1808</v>
      </c>
      <c r="N152" s="11" t="s">
        <v>222</v>
      </c>
      <c r="O152" s="54" t="s">
        <v>1908</v>
      </c>
      <c r="P152" s="11" t="s">
        <v>1838</v>
      </c>
      <c r="Q152" s="54" t="s">
        <v>1908</v>
      </c>
      <c r="R152" s="11" t="s">
        <v>1117</v>
      </c>
      <c r="S152" s="54" t="s">
        <v>1807</v>
      </c>
      <c r="T152" s="11" t="s">
        <v>1118</v>
      </c>
      <c r="U152" s="54" t="s">
        <v>1908</v>
      </c>
      <c r="V152" s="11" t="s">
        <v>1844</v>
      </c>
      <c r="W152" s="54" t="s">
        <v>1908</v>
      </c>
    </row>
    <row r="153" spans="2:23" ht="25.2" customHeight="1" x14ac:dyDescent="0.3">
      <c r="B153" s="16"/>
      <c r="C153" s="18"/>
      <c r="D153" s="11"/>
      <c r="E153" s="11"/>
      <c r="F153" s="11"/>
      <c r="G153" s="11"/>
      <c r="H153" s="11"/>
      <c r="I153" s="11"/>
      <c r="J153" s="11"/>
      <c r="K153" s="11"/>
      <c r="L153" s="11"/>
      <c r="M153" s="11"/>
      <c r="N153" s="11"/>
      <c r="O153" s="11"/>
      <c r="P153" s="11"/>
      <c r="Q153" s="11"/>
      <c r="R153" s="11"/>
      <c r="S153" s="11"/>
      <c r="T153" s="11"/>
      <c r="U153" s="11"/>
      <c r="V153" s="11"/>
    </row>
    <row r="154" spans="2:23" ht="25.2" customHeight="1" x14ac:dyDescent="0.3">
      <c r="B154" s="16" t="s">
        <v>43</v>
      </c>
      <c r="C154" s="17">
        <v>100</v>
      </c>
      <c r="D154" s="11" t="s">
        <v>1119</v>
      </c>
      <c r="E154" s="11" t="s">
        <v>1808</v>
      </c>
      <c r="F154" s="11" t="s">
        <v>1120</v>
      </c>
      <c r="G154" s="11" t="s">
        <v>1808</v>
      </c>
      <c r="H154" s="11" t="s">
        <v>1385</v>
      </c>
      <c r="I154" s="54" t="s">
        <v>1807</v>
      </c>
      <c r="J154" s="11" t="s">
        <v>1386</v>
      </c>
      <c r="K154" s="54" t="s">
        <v>1807</v>
      </c>
      <c r="L154" s="11" t="s">
        <v>1121</v>
      </c>
      <c r="M154" s="54" t="s">
        <v>1807</v>
      </c>
      <c r="N154" s="11" t="s">
        <v>1828</v>
      </c>
      <c r="O154" s="54" t="s">
        <v>1908</v>
      </c>
      <c r="P154" s="11" t="s">
        <v>1122</v>
      </c>
      <c r="Q154" s="54" t="s">
        <v>1908</v>
      </c>
      <c r="R154" s="11" t="s">
        <v>1123</v>
      </c>
      <c r="S154" s="11" t="s">
        <v>1808</v>
      </c>
      <c r="T154" s="11" t="s">
        <v>1124</v>
      </c>
      <c r="U154" s="54" t="s">
        <v>1908</v>
      </c>
      <c r="V154" s="11" t="s">
        <v>1387</v>
      </c>
      <c r="W154" s="54" t="s">
        <v>1908</v>
      </c>
    </row>
    <row r="155" spans="2:23" ht="25.2" customHeight="1" x14ac:dyDescent="0.3">
      <c r="B155" s="16" t="s">
        <v>43</v>
      </c>
      <c r="C155" s="18">
        <v>200</v>
      </c>
      <c r="D155" s="11" t="s">
        <v>1125</v>
      </c>
      <c r="E155" s="11" t="s">
        <v>1808</v>
      </c>
      <c r="F155" s="11" t="s">
        <v>1126</v>
      </c>
      <c r="G155" s="11" t="s">
        <v>1808</v>
      </c>
      <c r="H155" s="11" t="s">
        <v>1127</v>
      </c>
      <c r="I155" s="54" t="s">
        <v>1807</v>
      </c>
      <c r="J155" s="11" t="s">
        <v>1128</v>
      </c>
      <c r="K155" s="54" t="s">
        <v>1807</v>
      </c>
      <c r="L155" s="11" t="s">
        <v>1129</v>
      </c>
      <c r="M155" s="54" t="s">
        <v>1807</v>
      </c>
      <c r="N155" s="11" t="s">
        <v>118</v>
      </c>
      <c r="O155" s="54" t="s">
        <v>1908</v>
      </c>
      <c r="P155" s="11" t="s">
        <v>1130</v>
      </c>
      <c r="Q155" s="54" t="s">
        <v>1908</v>
      </c>
      <c r="R155" s="11" t="s">
        <v>1131</v>
      </c>
      <c r="S155" s="11" t="s">
        <v>1808</v>
      </c>
      <c r="T155" s="11" t="s">
        <v>216</v>
      </c>
      <c r="U155" s="54" t="s">
        <v>1908</v>
      </c>
      <c r="V155" s="11" t="s">
        <v>1132</v>
      </c>
      <c r="W155" s="54" t="s">
        <v>1908</v>
      </c>
    </row>
    <row r="156" spans="2:23" ht="25.2" customHeight="1" x14ac:dyDescent="0.3">
      <c r="B156" s="16" t="s">
        <v>43</v>
      </c>
      <c r="C156" s="18">
        <v>300</v>
      </c>
      <c r="D156" s="11" t="s">
        <v>223</v>
      </c>
      <c r="E156" s="11" t="s">
        <v>1808</v>
      </c>
      <c r="F156" s="11" t="s">
        <v>224</v>
      </c>
      <c r="G156" s="11" t="s">
        <v>1808</v>
      </c>
      <c r="H156" s="11" t="s">
        <v>225</v>
      </c>
      <c r="I156" s="54" t="s">
        <v>1807</v>
      </c>
      <c r="J156" s="11" t="s">
        <v>226</v>
      </c>
      <c r="K156" s="54" t="s">
        <v>1807</v>
      </c>
      <c r="L156" s="11" t="s">
        <v>227</v>
      </c>
      <c r="M156" s="54" t="s">
        <v>1807</v>
      </c>
      <c r="N156" s="11" t="s">
        <v>1829</v>
      </c>
      <c r="O156" s="54" t="s">
        <v>1908</v>
      </c>
      <c r="P156" s="11" t="s">
        <v>228</v>
      </c>
      <c r="Q156" s="54" t="s">
        <v>1908</v>
      </c>
      <c r="R156" s="11" t="s">
        <v>229</v>
      </c>
      <c r="S156" s="11" t="s">
        <v>1808</v>
      </c>
      <c r="T156" s="11" t="s">
        <v>143</v>
      </c>
      <c r="U156" s="54" t="s">
        <v>1908</v>
      </c>
      <c r="V156" s="11" t="s">
        <v>230</v>
      </c>
      <c r="W156" s="54" t="s">
        <v>1908</v>
      </c>
    </row>
    <row r="157" spans="2:23" ht="25.2" customHeight="1" x14ac:dyDescent="0.3">
      <c r="B157" s="16" t="s">
        <v>43</v>
      </c>
      <c r="C157" s="17">
        <v>400</v>
      </c>
      <c r="D157" s="11" t="s">
        <v>231</v>
      </c>
      <c r="E157" s="11" t="s">
        <v>1808</v>
      </c>
      <c r="F157" s="11" t="s">
        <v>232</v>
      </c>
      <c r="G157" s="11" t="s">
        <v>1808</v>
      </c>
      <c r="H157" s="11" t="s">
        <v>233</v>
      </c>
      <c r="I157" s="54" t="s">
        <v>1807</v>
      </c>
      <c r="J157" s="11" t="s">
        <v>234</v>
      </c>
      <c r="K157" s="54" t="s">
        <v>1807</v>
      </c>
      <c r="L157" s="11" t="s">
        <v>235</v>
      </c>
      <c r="M157" s="11" t="s">
        <v>1808</v>
      </c>
      <c r="N157" s="11" t="s">
        <v>131</v>
      </c>
      <c r="O157" s="54" t="s">
        <v>1908</v>
      </c>
      <c r="P157" s="11" t="s">
        <v>1839</v>
      </c>
      <c r="Q157" s="54" t="s">
        <v>1908</v>
      </c>
      <c r="R157" s="11" t="s">
        <v>236</v>
      </c>
      <c r="S157" s="11" t="s">
        <v>1808</v>
      </c>
      <c r="T157" s="11" t="s">
        <v>237</v>
      </c>
      <c r="U157" s="54" t="s">
        <v>1908</v>
      </c>
      <c r="V157" s="11" t="s">
        <v>1845</v>
      </c>
      <c r="W157" s="54" t="s">
        <v>1908</v>
      </c>
    </row>
    <row r="158" spans="2:23" ht="25.2" customHeight="1" x14ac:dyDescent="0.3">
      <c r="B158" s="16" t="s">
        <v>43</v>
      </c>
      <c r="C158" s="18">
        <v>500</v>
      </c>
      <c r="D158" s="11" t="s">
        <v>238</v>
      </c>
      <c r="E158" s="11" t="s">
        <v>1808</v>
      </c>
      <c r="F158" s="11" t="s">
        <v>239</v>
      </c>
      <c r="G158" s="11" t="s">
        <v>1808</v>
      </c>
      <c r="H158" s="11" t="s">
        <v>240</v>
      </c>
      <c r="I158" s="54" t="s">
        <v>1807</v>
      </c>
      <c r="J158" s="11" t="s">
        <v>241</v>
      </c>
      <c r="K158" s="54" t="s">
        <v>1807</v>
      </c>
      <c r="L158" s="11" t="s">
        <v>242</v>
      </c>
      <c r="M158" s="11" t="s">
        <v>1807</v>
      </c>
      <c r="N158" s="11" t="s">
        <v>90</v>
      </c>
      <c r="O158" s="54" t="s">
        <v>1908</v>
      </c>
      <c r="P158" s="11" t="s">
        <v>243</v>
      </c>
      <c r="Q158" s="54" t="s">
        <v>1908</v>
      </c>
      <c r="R158" s="11" t="s">
        <v>244</v>
      </c>
      <c r="S158" s="11" t="s">
        <v>1808</v>
      </c>
      <c r="T158" s="11" t="s">
        <v>245</v>
      </c>
      <c r="U158" s="54" t="s">
        <v>1908</v>
      </c>
      <c r="V158" s="11" t="s">
        <v>1846</v>
      </c>
      <c r="W158" s="54" t="s">
        <v>1908</v>
      </c>
    </row>
    <row r="159" spans="2:23" ht="25.2" customHeight="1" x14ac:dyDescent="0.3">
      <c r="B159" s="16"/>
      <c r="C159" s="18"/>
      <c r="D159" s="11"/>
      <c r="E159" s="11"/>
      <c r="F159" s="11"/>
      <c r="G159" s="11"/>
      <c r="H159" s="11"/>
      <c r="I159" s="11"/>
      <c r="J159" s="11"/>
      <c r="K159" s="11"/>
      <c r="L159" s="11"/>
      <c r="M159" s="11"/>
      <c r="N159" s="11"/>
      <c r="O159" s="11"/>
      <c r="P159" s="11"/>
      <c r="Q159" s="11"/>
      <c r="R159" s="11"/>
      <c r="S159" s="11"/>
      <c r="T159" s="11"/>
      <c r="U159" s="11"/>
      <c r="V159" s="11"/>
    </row>
    <row r="160" spans="2:23" ht="25.2" customHeight="1" x14ac:dyDescent="0.3">
      <c r="B160" s="16" t="s">
        <v>412</v>
      </c>
      <c r="C160" s="17">
        <v>100</v>
      </c>
      <c r="D160" s="11" t="s">
        <v>246</v>
      </c>
      <c r="E160" s="54" t="s">
        <v>1908</v>
      </c>
      <c r="F160" s="11" t="s">
        <v>247</v>
      </c>
      <c r="G160" s="11" t="s">
        <v>1807</v>
      </c>
      <c r="H160" s="11" t="s">
        <v>248</v>
      </c>
      <c r="I160" s="54" t="s">
        <v>1807</v>
      </c>
      <c r="J160" s="11" t="s">
        <v>249</v>
      </c>
      <c r="K160" s="54" t="s">
        <v>1908</v>
      </c>
      <c r="L160" s="11" t="s">
        <v>250</v>
      </c>
      <c r="M160" s="54" t="s">
        <v>1807</v>
      </c>
      <c r="N160" s="11" t="s">
        <v>251</v>
      </c>
      <c r="O160" s="54" t="s">
        <v>1908</v>
      </c>
      <c r="P160" s="11" t="s">
        <v>252</v>
      </c>
      <c r="Q160" s="54" t="s">
        <v>1908</v>
      </c>
      <c r="R160" s="11" t="s">
        <v>253</v>
      </c>
      <c r="S160" s="11" t="s">
        <v>1808</v>
      </c>
      <c r="T160" s="11" t="s">
        <v>169</v>
      </c>
      <c r="U160" s="54" t="s">
        <v>1908</v>
      </c>
      <c r="V160" s="11" t="s">
        <v>254</v>
      </c>
      <c r="W160" s="54" t="s">
        <v>1908</v>
      </c>
    </row>
    <row r="161" spans="2:23" ht="25.2" customHeight="1" x14ac:dyDescent="0.3">
      <c r="B161" s="16" t="s">
        <v>412</v>
      </c>
      <c r="C161" s="18">
        <v>200</v>
      </c>
      <c r="D161" s="11" t="s">
        <v>255</v>
      </c>
      <c r="E161" s="54" t="s">
        <v>1807</v>
      </c>
      <c r="F161" s="11" t="s">
        <v>256</v>
      </c>
      <c r="G161" s="11" t="s">
        <v>1808</v>
      </c>
      <c r="H161" s="11" t="s">
        <v>257</v>
      </c>
      <c r="I161" s="54" t="s">
        <v>1807</v>
      </c>
      <c r="J161" s="11" t="s">
        <v>258</v>
      </c>
      <c r="K161" s="54" t="s">
        <v>1908</v>
      </c>
      <c r="L161" s="11" t="s">
        <v>259</v>
      </c>
      <c r="M161" s="11" t="s">
        <v>1808</v>
      </c>
      <c r="N161" s="11" t="s">
        <v>260</v>
      </c>
      <c r="O161" s="54" t="s">
        <v>1908</v>
      </c>
      <c r="P161" s="11" t="s">
        <v>261</v>
      </c>
      <c r="Q161" s="54" t="s">
        <v>1908</v>
      </c>
      <c r="R161" s="11" t="s">
        <v>262</v>
      </c>
      <c r="S161" s="11" t="s">
        <v>1808</v>
      </c>
      <c r="T161" s="11" t="s">
        <v>263</v>
      </c>
      <c r="U161" s="54" t="s">
        <v>1908</v>
      </c>
      <c r="V161" s="11" t="s">
        <v>264</v>
      </c>
      <c r="W161" s="54" t="s">
        <v>1908</v>
      </c>
    </row>
    <row r="162" spans="2:23" ht="25.2" customHeight="1" x14ac:dyDescent="0.3">
      <c r="B162" s="16" t="s">
        <v>412</v>
      </c>
      <c r="C162" s="18">
        <v>300</v>
      </c>
      <c r="D162" s="11" t="s">
        <v>265</v>
      </c>
      <c r="E162" s="11" t="s">
        <v>1808</v>
      </c>
      <c r="F162" s="11" t="s">
        <v>266</v>
      </c>
      <c r="G162" s="11" t="s">
        <v>1808</v>
      </c>
      <c r="H162" s="11" t="s">
        <v>1388</v>
      </c>
      <c r="I162" s="54" t="s">
        <v>1807</v>
      </c>
      <c r="J162" s="11" t="s">
        <v>1389</v>
      </c>
      <c r="K162" s="54" t="s">
        <v>1908</v>
      </c>
      <c r="L162" s="11" t="s">
        <v>267</v>
      </c>
      <c r="M162" s="11" t="s">
        <v>1808</v>
      </c>
      <c r="N162" s="11" t="s">
        <v>268</v>
      </c>
      <c r="O162" s="54" t="s">
        <v>1807</v>
      </c>
      <c r="P162" s="11" t="s">
        <v>269</v>
      </c>
      <c r="Q162" s="54" t="s">
        <v>1908</v>
      </c>
      <c r="R162" s="11" t="s">
        <v>270</v>
      </c>
      <c r="S162" s="11" t="s">
        <v>1808</v>
      </c>
      <c r="T162" s="11" t="s">
        <v>271</v>
      </c>
      <c r="U162" s="54" t="s">
        <v>1908</v>
      </c>
      <c r="V162" s="11" t="s">
        <v>1390</v>
      </c>
      <c r="W162" s="54" t="s">
        <v>1908</v>
      </c>
    </row>
    <row r="163" spans="2:23" ht="25.2" customHeight="1" x14ac:dyDescent="0.3">
      <c r="B163" s="16" t="s">
        <v>412</v>
      </c>
      <c r="C163" s="17">
        <v>400</v>
      </c>
      <c r="D163" s="11" t="s">
        <v>272</v>
      </c>
      <c r="E163" s="11" t="s">
        <v>1808</v>
      </c>
      <c r="F163" s="11" t="s">
        <v>273</v>
      </c>
      <c r="G163" s="11" t="s">
        <v>1808</v>
      </c>
      <c r="H163" s="11" t="s">
        <v>274</v>
      </c>
      <c r="I163" s="54" t="s">
        <v>1807</v>
      </c>
      <c r="J163" s="11" t="s">
        <v>275</v>
      </c>
      <c r="K163" s="54" t="s">
        <v>1908</v>
      </c>
      <c r="L163" s="11" t="s">
        <v>276</v>
      </c>
      <c r="M163" s="54" t="s">
        <v>1807</v>
      </c>
      <c r="N163" s="11" t="s">
        <v>277</v>
      </c>
      <c r="O163" s="54" t="s">
        <v>1908</v>
      </c>
      <c r="P163" s="11" t="s">
        <v>278</v>
      </c>
      <c r="Q163" s="54" t="s">
        <v>1908</v>
      </c>
      <c r="R163" s="11" t="s">
        <v>279</v>
      </c>
      <c r="S163" s="11" t="s">
        <v>1808</v>
      </c>
      <c r="T163" s="11" t="s">
        <v>216</v>
      </c>
      <c r="U163" s="54" t="s">
        <v>1908</v>
      </c>
      <c r="V163" s="11" t="s">
        <v>280</v>
      </c>
      <c r="W163" s="54" t="s">
        <v>1908</v>
      </c>
    </row>
    <row r="164" spans="2:23" ht="25.2" customHeight="1" x14ac:dyDescent="0.3">
      <c r="B164" s="16" t="s">
        <v>412</v>
      </c>
      <c r="C164" s="18">
        <v>500</v>
      </c>
      <c r="D164" s="11" t="s">
        <v>281</v>
      </c>
      <c r="E164" s="11" t="s">
        <v>1808</v>
      </c>
      <c r="F164" s="11" t="s">
        <v>282</v>
      </c>
      <c r="G164" s="11" t="s">
        <v>1808</v>
      </c>
      <c r="H164" s="11" t="s">
        <v>283</v>
      </c>
      <c r="I164" s="54" t="s">
        <v>1807</v>
      </c>
      <c r="J164" s="11" t="s">
        <v>284</v>
      </c>
      <c r="K164" s="54" t="s">
        <v>1908</v>
      </c>
      <c r="L164" s="11" t="s">
        <v>285</v>
      </c>
      <c r="M164" s="11" t="s">
        <v>1808</v>
      </c>
      <c r="N164" s="11" t="s">
        <v>220</v>
      </c>
      <c r="O164" s="54" t="s">
        <v>1908</v>
      </c>
      <c r="P164" s="11" t="s">
        <v>286</v>
      </c>
      <c r="Q164" s="54" t="s">
        <v>1908</v>
      </c>
      <c r="R164" s="11" t="s">
        <v>287</v>
      </c>
      <c r="S164" s="11" t="s">
        <v>1808</v>
      </c>
      <c r="T164" s="11" t="s">
        <v>288</v>
      </c>
      <c r="U164" s="54" t="s">
        <v>1908</v>
      </c>
      <c r="V164" s="11" t="s">
        <v>289</v>
      </c>
      <c r="W164" s="54" t="s">
        <v>1908</v>
      </c>
    </row>
    <row r="165" spans="2:23" ht="25.2" customHeight="1" x14ac:dyDescent="0.3">
      <c r="B165" s="16"/>
      <c r="C165" s="18"/>
      <c r="D165" s="11"/>
      <c r="E165" s="11"/>
      <c r="F165" s="11"/>
      <c r="G165" s="11"/>
      <c r="H165" s="11"/>
      <c r="I165" s="11"/>
      <c r="J165" s="11"/>
      <c r="K165" s="11"/>
      <c r="L165" s="11"/>
      <c r="M165" s="11"/>
      <c r="N165" s="11"/>
      <c r="O165" s="11"/>
      <c r="P165" s="11"/>
      <c r="Q165" s="11"/>
      <c r="R165" s="11"/>
      <c r="S165" s="11"/>
      <c r="T165" s="11"/>
      <c r="U165" s="11"/>
      <c r="V165" s="11"/>
    </row>
    <row r="166" spans="2:23" ht="25.2" customHeight="1" x14ac:dyDescent="0.3">
      <c r="B166" s="16" t="s">
        <v>1031</v>
      </c>
      <c r="C166" s="17">
        <v>100</v>
      </c>
      <c r="D166" s="11" t="s">
        <v>290</v>
      </c>
      <c r="E166" s="54" t="s">
        <v>1908</v>
      </c>
      <c r="F166" s="11" t="s">
        <v>291</v>
      </c>
      <c r="G166" s="11" t="s">
        <v>1808</v>
      </c>
      <c r="H166" s="11" t="s">
        <v>1391</v>
      </c>
      <c r="I166" s="54" t="s">
        <v>1807</v>
      </c>
      <c r="J166" s="11" t="s">
        <v>1392</v>
      </c>
      <c r="K166" s="54" t="s">
        <v>1807</v>
      </c>
      <c r="L166" s="11" t="s">
        <v>292</v>
      </c>
      <c r="M166" s="11" t="s">
        <v>1808</v>
      </c>
      <c r="N166" s="11" t="s">
        <v>293</v>
      </c>
      <c r="O166" s="11" t="s">
        <v>1808</v>
      </c>
      <c r="P166" s="11" t="s">
        <v>294</v>
      </c>
      <c r="Q166" s="54" t="s">
        <v>1908</v>
      </c>
      <c r="R166" s="11" t="s">
        <v>295</v>
      </c>
      <c r="S166" s="11" t="s">
        <v>1808</v>
      </c>
      <c r="T166" s="11" t="s">
        <v>296</v>
      </c>
      <c r="U166" s="54" t="s">
        <v>1908</v>
      </c>
      <c r="V166" s="11" t="s">
        <v>1397</v>
      </c>
      <c r="W166" s="54" t="s">
        <v>1807</v>
      </c>
    </row>
    <row r="167" spans="2:23" ht="25.2" customHeight="1" x14ac:dyDescent="0.3">
      <c r="B167" s="16" t="s">
        <v>1031</v>
      </c>
      <c r="C167" s="18">
        <v>200</v>
      </c>
      <c r="D167" s="11" t="s">
        <v>297</v>
      </c>
      <c r="E167" s="54" t="s">
        <v>1908</v>
      </c>
      <c r="F167" s="11" t="s">
        <v>298</v>
      </c>
      <c r="G167" s="11" t="s">
        <v>1808</v>
      </c>
      <c r="H167" s="11" t="s">
        <v>299</v>
      </c>
      <c r="I167" s="54" t="s">
        <v>1807</v>
      </c>
      <c r="J167" s="11" t="s">
        <v>300</v>
      </c>
      <c r="K167" s="54" t="s">
        <v>1807</v>
      </c>
      <c r="L167" s="11" t="s">
        <v>301</v>
      </c>
      <c r="M167" s="11" t="s">
        <v>1808</v>
      </c>
      <c r="N167" s="11" t="s">
        <v>302</v>
      </c>
      <c r="O167" s="54" t="s">
        <v>1807</v>
      </c>
      <c r="P167" s="11" t="s">
        <v>303</v>
      </c>
      <c r="Q167" s="54" t="s">
        <v>1908</v>
      </c>
      <c r="R167" s="11" t="s">
        <v>304</v>
      </c>
      <c r="S167" s="11" t="s">
        <v>1808</v>
      </c>
      <c r="T167" s="11" t="s">
        <v>146</v>
      </c>
      <c r="U167" s="54" t="s">
        <v>1908</v>
      </c>
      <c r="V167" s="11" t="s">
        <v>305</v>
      </c>
      <c r="W167" s="54" t="s">
        <v>1807</v>
      </c>
    </row>
    <row r="168" spans="2:23" ht="25.2" customHeight="1" x14ac:dyDescent="0.3">
      <c r="B168" s="16" t="s">
        <v>1031</v>
      </c>
      <c r="C168" s="18">
        <v>300</v>
      </c>
      <c r="D168" s="11" t="s">
        <v>306</v>
      </c>
      <c r="E168" s="54" t="s">
        <v>1807</v>
      </c>
      <c r="F168" s="11" t="s">
        <v>307</v>
      </c>
      <c r="G168" s="11" t="s">
        <v>1808</v>
      </c>
      <c r="H168" s="11" t="s">
        <v>1393</v>
      </c>
      <c r="I168" s="54" t="s">
        <v>1807</v>
      </c>
      <c r="J168" s="11" t="s">
        <v>1394</v>
      </c>
      <c r="K168" s="54" t="s">
        <v>1908</v>
      </c>
      <c r="L168" s="11" t="s">
        <v>308</v>
      </c>
      <c r="M168" s="11" t="s">
        <v>1808</v>
      </c>
      <c r="N168" s="11" t="s">
        <v>309</v>
      </c>
      <c r="O168" s="54" t="s">
        <v>1807</v>
      </c>
      <c r="P168" s="11" t="s">
        <v>310</v>
      </c>
      <c r="Q168" s="54" t="s">
        <v>1908</v>
      </c>
      <c r="R168" s="11" t="s">
        <v>311</v>
      </c>
      <c r="S168" s="11" t="s">
        <v>1808</v>
      </c>
      <c r="T168" s="11" t="s">
        <v>312</v>
      </c>
      <c r="U168" s="54" t="s">
        <v>1908</v>
      </c>
      <c r="V168" s="11" t="s">
        <v>1398</v>
      </c>
      <c r="W168" s="54" t="s">
        <v>1908</v>
      </c>
    </row>
    <row r="169" spans="2:23" ht="25.2" customHeight="1" x14ac:dyDescent="0.3">
      <c r="B169" s="16" t="s">
        <v>1031</v>
      </c>
      <c r="C169" s="17">
        <v>400</v>
      </c>
      <c r="D169" s="11" t="s">
        <v>313</v>
      </c>
      <c r="E169" s="54" t="s">
        <v>1807</v>
      </c>
      <c r="F169" s="11" t="s">
        <v>314</v>
      </c>
      <c r="G169" s="11" t="s">
        <v>1808</v>
      </c>
      <c r="H169" s="11" t="s">
        <v>1395</v>
      </c>
      <c r="I169" s="54" t="s">
        <v>1807</v>
      </c>
      <c r="J169" s="11" t="s">
        <v>1396</v>
      </c>
      <c r="K169" s="54" t="s">
        <v>1908</v>
      </c>
      <c r="L169" s="11" t="s">
        <v>315</v>
      </c>
      <c r="M169" s="11" t="s">
        <v>1808</v>
      </c>
      <c r="N169" s="11" t="s">
        <v>316</v>
      </c>
      <c r="O169" s="54" t="s">
        <v>1807</v>
      </c>
      <c r="P169" s="11" t="s">
        <v>1840</v>
      </c>
      <c r="Q169" s="54" t="s">
        <v>1908</v>
      </c>
      <c r="R169" s="11" t="s">
        <v>317</v>
      </c>
      <c r="S169" s="11" t="s">
        <v>1808</v>
      </c>
      <c r="T169" s="11" t="s">
        <v>318</v>
      </c>
      <c r="U169" s="54" t="s">
        <v>1908</v>
      </c>
      <c r="V169" s="11" t="s">
        <v>1847</v>
      </c>
      <c r="W169" s="54" t="s">
        <v>1908</v>
      </c>
    </row>
    <row r="170" spans="2:23" ht="25.2" customHeight="1" x14ac:dyDescent="0.3">
      <c r="B170" s="16" t="s">
        <v>1031</v>
      </c>
      <c r="C170" s="18">
        <v>500</v>
      </c>
      <c r="D170" s="11" t="s">
        <v>319</v>
      </c>
      <c r="E170" s="54" t="s">
        <v>1807</v>
      </c>
      <c r="F170" s="11" t="s">
        <v>320</v>
      </c>
      <c r="G170" s="11" t="s">
        <v>1808</v>
      </c>
      <c r="H170" s="11" t="s">
        <v>321</v>
      </c>
      <c r="I170" s="54" t="s">
        <v>1807</v>
      </c>
      <c r="J170" s="11" t="s">
        <v>322</v>
      </c>
      <c r="K170" s="54" t="s">
        <v>1807</v>
      </c>
      <c r="L170" s="11" t="s">
        <v>323</v>
      </c>
      <c r="M170" s="11" t="s">
        <v>1808</v>
      </c>
      <c r="N170" s="11" t="s">
        <v>324</v>
      </c>
      <c r="O170" s="54" t="s">
        <v>1807</v>
      </c>
      <c r="P170" s="11" t="s">
        <v>325</v>
      </c>
      <c r="Q170" s="54" t="s">
        <v>1908</v>
      </c>
      <c r="R170" s="11" t="s">
        <v>326</v>
      </c>
      <c r="S170" s="11" t="s">
        <v>1808</v>
      </c>
      <c r="T170" s="11" t="s">
        <v>110</v>
      </c>
      <c r="U170" s="54" t="s">
        <v>1908</v>
      </c>
      <c r="V170" s="11" t="s">
        <v>1848</v>
      </c>
      <c r="W170" s="54" t="s">
        <v>1807</v>
      </c>
    </row>
    <row r="171" spans="2:23" ht="25.2" customHeight="1" x14ac:dyDescent="0.3">
      <c r="B171" s="16"/>
      <c r="C171" s="18"/>
      <c r="D171" s="11"/>
      <c r="E171" s="11"/>
      <c r="F171" s="11"/>
      <c r="G171" s="11"/>
      <c r="H171" s="11"/>
      <c r="I171" s="11"/>
      <c r="J171" s="11"/>
      <c r="K171" s="11"/>
      <c r="L171" s="11"/>
      <c r="M171" s="11"/>
      <c r="N171" s="11"/>
      <c r="O171" s="11"/>
      <c r="P171" s="11"/>
      <c r="Q171" s="11"/>
      <c r="R171" s="11"/>
      <c r="S171" s="11"/>
      <c r="T171" s="11"/>
      <c r="U171" s="11"/>
      <c r="V171" s="11"/>
    </row>
    <row r="172" spans="2:23" ht="25.2" customHeight="1" x14ac:dyDescent="0.3">
      <c r="B172" s="16" t="s">
        <v>884</v>
      </c>
      <c r="C172" s="17">
        <v>100</v>
      </c>
      <c r="D172" s="11" t="s">
        <v>1823</v>
      </c>
      <c r="E172" s="54" t="s">
        <v>1908</v>
      </c>
      <c r="F172" s="11" t="s">
        <v>327</v>
      </c>
      <c r="G172" s="11" t="s">
        <v>1808</v>
      </c>
      <c r="H172" s="11" t="s">
        <v>328</v>
      </c>
      <c r="I172" s="11"/>
      <c r="J172" s="11" t="s">
        <v>329</v>
      </c>
      <c r="K172" s="11" t="s">
        <v>1808</v>
      </c>
      <c r="L172" s="11" t="s">
        <v>330</v>
      </c>
      <c r="M172" s="11" t="s">
        <v>1808</v>
      </c>
      <c r="N172" s="11" t="s">
        <v>331</v>
      </c>
      <c r="O172" s="11" t="s">
        <v>1808</v>
      </c>
      <c r="P172" s="11" t="s">
        <v>332</v>
      </c>
      <c r="Q172" s="11" t="s">
        <v>1808</v>
      </c>
      <c r="R172" s="11" t="s">
        <v>333</v>
      </c>
      <c r="S172" s="11" t="s">
        <v>1808</v>
      </c>
      <c r="T172" s="11" t="s">
        <v>334</v>
      </c>
      <c r="U172" s="11" t="s">
        <v>1808</v>
      </c>
      <c r="V172" s="11" t="s">
        <v>335</v>
      </c>
      <c r="W172" s="10" t="s">
        <v>1808</v>
      </c>
    </row>
    <row r="173" spans="2:23" ht="25.2" customHeight="1" x14ac:dyDescent="0.3">
      <c r="B173" s="16" t="s">
        <v>884</v>
      </c>
      <c r="C173" s="18">
        <v>200</v>
      </c>
      <c r="D173" s="11" t="s">
        <v>1824</v>
      </c>
      <c r="E173" s="54" t="s">
        <v>1908</v>
      </c>
      <c r="F173" s="11" t="s">
        <v>336</v>
      </c>
      <c r="G173" s="11" t="s">
        <v>1808</v>
      </c>
      <c r="H173" s="11" t="s">
        <v>337</v>
      </c>
      <c r="I173" s="11"/>
      <c r="J173" s="11" t="s">
        <v>338</v>
      </c>
      <c r="K173" s="11" t="s">
        <v>1808</v>
      </c>
      <c r="L173" s="11" t="s">
        <v>339</v>
      </c>
      <c r="M173" s="11" t="s">
        <v>1808</v>
      </c>
      <c r="N173" s="11" t="s">
        <v>340</v>
      </c>
      <c r="O173" s="11" t="s">
        <v>1808</v>
      </c>
      <c r="P173" s="11" t="s">
        <v>341</v>
      </c>
      <c r="Q173" s="11" t="s">
        <v>1808</v>
      </c>
      <c r="R173" s="11" t="s">
        <v>342</v>
      </c>
      <c r="S173" s="11" t="s">
        <v>1808</v>
      </c>
      <c r="T173" s="11" t="s">
        <v>343</v>
      </c>
      <c r="U173" s="11" t="s">
        <v>1808</v>
      </c>
      <c r="V173" s="11" t="s">
        <v>344</v>
      </c>
      <c r="W173" s="10" t="s">
        <v>1808</v>
      </c>
    </row>
    <row r="174" spans="2:23" ht="25.2" customHeight="1" x14ac:dyDescent="0.3">
      <c r="B174" s="16" t="s">
        <v>884</v>
      </c>
      <c r="C174" s="18">
        <v>300</v>
      </c>
      <c r="D174" s="11" t="s">
        <v>345</v>
      </c>
      <c r="E174" s="54" t="s">
        <v>1807</v>
      </c>
      <c r="F174" s="11" t="s">
        <v>346</v>
      </c>
      <c r="G174" s="11" t="s">
        <v>1808</v>
      </c>
      <c r="H174" s="11" t="s">
        <v>347</v>
      </c>
      <c r="I174" s="11"/>
      <c r="J174" s="11" t="s">
        <v>348</v>
      </c>
      <c r="K174" s="11" t="s">
        <v>1808</v>
      </c>
      <c r="L174" s="11" t="s">
        <v>349</v>
      </c>
      <c r="M174" s="11" t="s">
        <v>1808</v>
      </c>
      <c r="N174" s="11" t="s">
        <v>350</v>
      </c>
      <c r="O174" s="11" t="s">
        <v>1808</v>
      </c>
      <c r="P174" s="11" t="s">
        <v>351</v>
      </c>
      <c r="Q174" s="11" t="s">
        <v>1808</v>
      </c>
      <c r="R174" s="11" t="s">
        <v>352</v>
      </c>
      <c r="S174" s="11" t="s">
        <v>1808</v>
      </c>
      <c r="T174" s="11" t="s">
        <v>353</v>
      </c>
      <c r="U174" s="11" t="s">
        <v>1808</v>
      </c>
      <c r="V174" s="11" t="s">
        <v>354</v>
      </c>
      <c r="W174" s="10" t="s">
        <v>1808</v>
      </c>
    </row>
    <row r="175" spans="2:23" ht="25.2" customHeight="1" x14ac:dyDescent="0.3">
      <c r="B175" s="16" t="s">
        <v>884</v>
      </c>
      <c r="C175" s="17">
        <v>400</v>
      </c>
      <c r="D175" s="11" t="s">
        <v>355</v>
      </c>
      <c r="E175" s="54" t="s">
        <v>1807</v>
      </c>
      <c r="F175" s="11" t="s">
        <v>356</v>
      </c>
      <c r="G175" s="11" t="s">
        <v>1808</v>
      </c>
      <c r="H175" s="11" t="s">
        <v>357</v>
      </c>
      <c r="I175" s="11"/>
      <c r="J175" s="11" t="s">
        <v>358</v>
      </c>
      <c r="K175" s="11" t="s">
        <v>1808</v>
      </c>
      <c r="L175" s="11" t="s">
        <v>359</v>
      </c>
      <c r="M175" s="11" t="s">
        <v>1808</v>
      </c>
      <c r="N175" s="11" t="s">
        <v>360</v>
      </c>
      <c r="O175" s="54" t="s">
        <v>1808</v>
      </c>
      <c r="P175" s="11" t="s">
        <v>361</v>
      </c>
      <c r="Q175" s="54" t="s">
        <v>1807</v>
      </c>
      <c r="R175" s="11" t="s">
        <v>362</v>
      </c>
      <c r="S175" s="11" t="s">
        <v>1808</v>
      </c>
      <c r="T175" s="11" t="s">
        <v>363</v>
      </c>
      <c r="U175" s="11" t="s">
        <v>1808</v>
      </c>
      <c r="V175" s="11" t="s">
        <v>364</v>
      </c>
      <c r="W175" s="10" t="s">
        <v>1808</v>
      </c>
    </row>
    <row r="176" spans="2:23" ht="25.2" customHeight="1" x14ac:dyDescent="0.3">
      <c r="B176" s="16" t="s">
        <v>884</v>
      </c>
      <c r="C176" s="18">
        <v>500</v>
      </c>
      <c r="D176" s="11" t="s">
        <v>1825</v>
      </c>
      <c r="E176" s="54" t="s">
        <v>1908</v>
      </c>
      <c r="F176" s="11" t="s">
        <v>365</v>
      </c>
      <c r="G176" s="11" t="s">
        <v>1808</v>
      </c>
      <c r="H176" s="11" t="s">
        <v>366</v>
      </c>
      <c r="I176" s="11"/>
      <c r="J176" s="11" t="s">
        <v>367</v>
      </c>
      <c r="K176" s="11" t="s">
        <v>1808</v>
      </c>
      <c r="L176" s="11" t="s">
        <v>368</v>
      </c>
      <c r="M176" s="11" t="s">
        <v>1808</v>
      </c>
      <c r="N176" s="11" t="s">
        <v>369</v>
      </c>
      <c r="O176" s="54" t="s">
        <v>1807</v>
      </c>
      <c r="P176" s="11" t="s">
        <v>1841</v>
      </c>
      <c r="Q176" s="54" t="s">
        <v>1908</v>
      </c>
      <c r="R176" s="11" t="s">
        <v>370</v>
      </c>
      <c r="S176" s="11" t="s">
        <v>1808</v>
      </c>
      <c r="T176" s="11" t="s">
        <v>371</v>
      </c>
      <c r="U176" s="11" t="s">
        <v>1808</v>
      </c>
      <c r="V176" s="11" t="s">
        <v>372</v>
      </c>
      <c r="W176" s="10" t="s">
        <v>1808</v>
      </c>
    </row>
    <row r="177" spans="2:23" ht="25.2" customHeight="1" x14ac:dyDescent="0.3">
      <c r="B177" s="16"/>
      <c r="C177" s="18"/>
      <c r="D177" s="11"/>
      <c r="E177" s="11"/>
      <c r="F177" s="11"/>
      <c r="G177" s="11"/>
      <c r="H177" s="11"/>
      <c r="I177" s="11"/>
      <c r="J177" s="11"/>
      <c r="K177" s="11"/>
      <c r="L177" s="11"/>
      <c r="M177" s="11"/>
      <c r="N177" s="11"/>
      <c r="O177" s="11"/>
      <c r="P177" s="11"/>
      <c r="Q177" s="11"/>
      <c r="R177" s="11"/>
      <c r="S177" s="11"/>
      <c r="T177" s="11"/>
      <c r="U177" s="11"/>
      <c r="V177" s="11"/>
    </row>
    <row r="178" spans="2:23" ht="25.2" customHeight="1" x14ac:dyDescent="0.3">
      <c r="B178" s="16" t="s">
        <v>50</v>
      </c>
      <c r="C178" s="17">
        <v>100</v>
      </c>
      <c r="D178" s="11" t="s">
        <v>1819</v>
      </c>
      <c r="E178" s="54" t="s">
        <v>1908</v>
      </c>
      <c r="F178" s="11" t="s">
        <v>373</v>
      </c>
      <c r="G178" s="11" t="s">
        <v>1808</v>
      </c>
      <c r="H178" s="11" t="s">
        <v>374</v>
      </c>
      <c r="I178" s="11"/>
      <c r="J178" s="11" t="s">
        <v>375</v>
      </c>
      <c r="K178" s="11" t="s">
        <v>1808</v>
      </c>
      <c r="L178" s="11" t="s">
        <v>376</v>
      </c>
      <c r="M178" s="11" t="s">
        <v>1808</v>
      </c>
      <c r="N178" s="11" t="s">
        <v>377</v>
      </c>
      <c r="O178" s="11" t="s">
        <v>1808</v>
      </c>
      <c r="P178" s="11" t="s">
        <v>378</v>
      </c>
      <c r="Q178" s="11" t="s">
        <v>1808</v>
      </c>
      <c r="R178" s="11" t="s">
        <v>379</v>
      </c>
      <c r="S178" s="11" t="s">
        <v>1808</v>
      </c>
      <c r="T178" s="11" t="s">
        <v>380</v>
      </c>
      <c r="U178" s="11" t="s">
        <v>1808</v>
      </c>
      <c r="V178" s="11" t="s">
        <v>381</v>
      </c>
      <c r="W178" s="10" t="s">
        <v>1808</v>
      </c>
    </row>
    <row r="179" spans="2:23" ht="25.2" customHeight="1" x14ac:dyDescent="0.3">
      <c r="B179" s="16" t="s">
        <v>50</v>
      </c>
      <c r="C179" s="18">
        <v>200</v>
      </c>
      <c r="D179" s="11" t="s">
        <v>1820</v>
      </c>
      <c r="E179" s="54" t="s">
        <v>1908</v>
      </c>
      <c r="F179" s="11" t="s">
        <v>382</v>
      </c>
      <c r="G179" s="11" t="s">
        <v>1808</v>
      </c>
      <c r="H179" s="11" t="s">
        <v>383</v>
      </c>
      <c r="I179" s="11"/>
      <c r="J179" s="11" t="s">
        <v>384</v>
      </c>
      <c r="K179" s="11" t="s">
        <v>1808</v>
      </c>
      <c r="L179" s="11" t="s">
        <v>385</v>
      </c>
      <c r="M179" s="11" t="s">
        <v>1808</v>
      </c>
      <c r="N179" s="11" t="s">
        <v>386</v>
      </c>
      <c r="O179" s="11" t="s">
        <v>1808</v>
      </c>
      <c r="P179" s="11" t="s">
        <v>387</v>
      </c>
      <c r="Q179" s="11" t="s">
        <v>1808</v>
      </c>
      <c r="R179" s="11" t="s">
        <v>388</v>
      </c>
      <c r="S179" s="11" t="s">
        <v>1808</v>
      </c>
      <c r="T179" s="11" t="s">
        <v>389</v>
      </c>
      <c r="U179" s="11" t="s">
        <v>1808</v>
      </c>
      <c r="V179" s="11" t="s">
        <v>390</v>
      </c>
      <c r="W179" s="10" t="s">
        <v>1808</v>
      </c>
    </row>
    <row r="180" spans="2:23" ht="25.2" customHeight="1" x14ac:dyDescent="0.3">
      <c r="B180" s="16" t="s">
        <v>50</v>
      </c>
      <c r="C180" s="18">
        <v>300</v>
      </c>
      <c r="D180" s="11" t="s">
        <v>1821</v>
      </c>
      <c r="E180" s="54" t="s">
        <v>1908</v>
      </c>
      <c r="F180" s="11" t="s">
        <v>391</v>
      </c>
      <c r="G180" s="11" t="s">
        <v>1808</v>
      </c>
      <c r="H180" s="11" t="s">
        <v>392</v>
      </c>
      <c r="I180" s="11"/>
      <c r="J180" s="11" t="s">
        <v>393</v>
      </c>
      <c r="K180" s="11" t="s">
        <v>1808</v>
      </c>
      <c r="L180" s="11" t="s">
        <v>394</v>
      </c>
      <c r="M180" s="11" t="s">
        <v>1808</v>
      </c>
      <c r="N180" s="11" t="s">
        <v>395</v>
      </c>
      <c r="O180" s="11" t="s">
        <v>1808</v>
      </c>
      <c r="P180" s="11" t="s">
        <v>396</v>
      </c>
      <c r="Q180" s="11" t="s">
        <v>1808</v>
      </c>
      <c r="R180" s="11" t="s">
        <v>397</v>
      </c>
      <c r="S180" s="11" t="s">
        <v>1808</v>
      </c>
      <c r="T180" s="11" t="s">
        <v>398</v>
      </c>
      <c r="U180" s="11" t="s">
        <v>1808</v>
      </c>
      <c r="V180" s="11" t="s">
        <v>399</v>
      </c>
      <c r="W180" s="10" t="s">
        <v>1808</v>
      </c>
    </row>
    <row r="181" spans="2:23" ht="25.2" customHeight="1" x14ac:dyDescent="0.3">
      <c r="B181" s="16" t="s">
        <v>50</v>
      </c>
      <c r="C181" s="17">
        <v>400</v>
      </c>
      <c r="D181" s="11" t="s">
        <v>1822</v>
      </c>
      <c r="E181" s="54" t="s">
        <v>1908</v>
      </c>
      <c r="F181" s="11" t="s">
        <v>400</v>
      </c>
      <c r="G181" s="11" t="s">
        <v>1808</v>
      </c>
      <c r="H181" s="11" t="s">
        <v>401</v>
      </c>
      <c r="I181" s="11"/>
      <c r="J181" s="11" t="s">
        <v>402</v>
      </c>
      <c r="K181" s="11" t="s">
        <v>1808</v>
      </c>
      <c r="L181" s="11" t="s">
        <v>403</v>
      </c>
      <c r="M181" s="11" t="s">
        <v>1808</v>
      </c>
      <c r="N181" s="11" t="s">
        <v>404</v>
      </c>
      <c r="O181" s="11" t="s">
        <v>1808</v>
      </c>
      <c r="P181" s="11" t="s">
        <v>405</v>
      </c>
      <c r="Q181" s="11" t="s">
        <v>1808</v>
      </c>
      <c r="R181" s="11" t="s">
        <v>406</v>
      </c>
      <c r="S181" s="11" t="s">
        <v>1808</v>
      </c>
      <c r="T181" s="11" t="s">
        <v>407</v>
      </c>
      <c r="U181" s="11" t="s">
        <v>1808</v>
      </c>
      <c r="V181" s="11" t="s">
        <v>408</v>
      </c>
      <c r="W181" s="10" t="s">
        <v>1808</v>
      </c>
    </row>
    <row r="182" spans="2:23" ht="25.2" customHeight="1" x14ac:dyDescent="0.3">
      <c r="B182" s="19" t="s">
        <v>50</v>
      </c>
      <c r="C182" s="20">
        <v>500</v>
      </c>
      <c r="D182" s="14" t="s">
        <v>63</v>
      </c>
      <c r="E182" s="59" t="s">
        <v>1908</v>
      </c>
      <c r="F182" s="14" t="s">
        <v>1133</v>
      </c>
      <c r="G182" s="14" t="s">
        <v>1808</v>
      </c>
      <c r="H182" s="14" t="s">
        <v>1134</v>
      </c>
      <c r="I182" s="14"/>
      <c r="J182" s="14" t="s">
        <v>1135</v>
      </c>
      <c r="K182" s="14" t="s">
        <v>1808</v>
      </c>
      <c r="L182" s="14" t="s">
        <v>1136</v>
      </c>
      <c r="M182" s="14" t="s">
        <v>1808</v>
      </c>
      <c r="N182" s="14" t="s">
        <v>1137</v>
      </c>
      <c r="O182" s="14" t="s">
        <v>1808</v>
      </c>
      <c r="P182" s="14" t="s">
        <v>1138</v>
      </c>
      <c r="Q182" s="14" t="s">
        <v>1808</v>
      </c>
      <c r="R182" s="14" t="s">
        <v>1139</v>
      </c>
      <c r="S182" s="14" t="s">
        <v>1808</v>
      </c>
      <c r="T182" s="14" t="s">
        <v>1140</v>
      </c>
      <c r="U182" s="14" t="s">
        <v>1808</v>
      </c>
      <c r="V182" s="14" t="s">
        <v>1141</v>
      </c>
      <c r="W182" s="13" t="s">
        <v>1808</v>
      </c>
    </row>
    <row r="183" spans="2:23" ht="25.2" customHeight="1" x14ac:dyDescent="0.3">
      <c r="B183" s="100" t="s">
        <v>1909</v>
      </c>
      <c r="C183" s="100"/>
    </row>
  </sheetData>
  <mergeCells count="1">
    <mergeCell ref="B2:V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77E01-9758-49E6-9EA6-009F1F86CC67}">
  <dimension ref="A1:M17"/>
  <sheetViews>
    <sheetView zoomScale="85" zoomScaleNormal="85" workbookViewId="0">
      <selection activeCell="B24" sqref="B24"/>
    </sheetView>
  </sheetViews>
  <sheetFormatPr defaultColWidth="8.88671875" defaultRowHeight="25.2" customHeight="1" x14ac:dyDescent="0.25"/>
  <cols>
    <col min="1" max="1" width="6.33203125" style="1" customWidth="1"/>
    <col min="2" max="2" width="40.33203125" style="1" customWidth="1"/>
    <col min="3" max="3" width="19.5546875" style="1" customWidth="1"/>
    <col min="4" max="13" width="9.6640625" style="1" customWidth="1"/>
    <col min="14" max="16384" width="8.88671875" style="1"/>
  </cols>
  <sheetData>
    <row r="1" spans="1:13" ht="13.2" customHeight="1" x14ac:dyDescent="0.25">
      <c r="D1" s="10"/>
      <c r="E1" s="10"/>
      <c r="F1" s="10"/>
      <c r="G1" s="10"/>
      <c r="H1" s="10"/>
      <c r="I1" s="10"/>
      <c r="J1" s="10"/>
      <c r="K1" s="10"/>
      <c r="L1" s="10"/>
      <c r="M1" s="10"/>
    </row>
    <row r="2" spans="1:13" s="10" customFormat="1" ht="44.25" customHeight="1" thickBot="1" x14ac:dyDescent="0.35">
      <c r="B2" s="159" t="s">
        <v>1918</v>
      </c>
      <c r="C2" s="159"/>
      <c r="D2" s="159"/>
      <c r="E2" s="159"/>
      <c r="F2" s="159"/>
      <c r="G2" s="159"/>
      <c r="H2" s="159"/>
      <c r="I2" s="159"/>
      <c r="J2" s="159"/>
      <c r="K2" s="159"/>
      <c r="L2" s="159"/>
      <c r="M2" s="159"/>
    </row>
    <row r="3" spans="1:13" s="10" customFormat="1" ht="25.2" customHeight="1" x14ac:dyDescent="0.3">
      <c r="A3" s="11"/>
      <c r="B3" s="50" t="s">
        <v>688</v>
      </c>
      <c r="C3" s="50" t="s">
        <v>1012</v>
      </c>
      <c r="D3" s="21" t="s">
        <v>556</v>
      </c>
      <c r="E3" s="21" t="s">
        <v>498</v>
      </c>
      <c r="F3" s="21" t="s">
        <v>502</v>
      </c>
      <c r="G3" s="21" t="s">
        <v>559</v>
      </c>
      <c r="H3" s="21" t="s">
        <v>503</v>
      </c>
      <c r="I3" s="21" t="s">
        <v>504</v>
      </c>
      <c r="J3" s="21" t="s">
        <v>505</v>
      </c>
      <c r="K3" s="21" t="s">
        <v>499</v>
      </c>
      <c r="L3" s="21" t="s">
        <v>561</v>
      </c>
      <c r="M3" s="21" t="s">
        <v>7</v>
      </c>
    </row>
    <row r="4" spans="1:13" s="11" customFormat="1" ht="25.2" customHeight="1" x14ac:dyDescent="0.3">
      <c r="B4" s="16" t="s">
        <v>516</v>
      </c>
      <c r="C4" s="16" t="s">
        <v>1013</v>
      </c>
      <c r="D4" s="55">
        <v>0.98264920606894846</v>
      </c>
      <c r="E4" s="55">
        <v>0.95526974320037594</v>
      </c>
      <c r="F4" s="55"/>
      <c r="G4" s="55">
        <v>0.9848202916779063</v>
      </c>
      <c r="H4" s="55">
        <v>0.39177491951539783</v>
      </c>
      <c r="I4" s="55"/>
      <c r="J4" s="55"/>
      <c r="K4" s="55"/>
      <c r="L4" s="55"/>
      <c r="M4" s="55"/>
    </row>
    <row r="5" spans="1:13" s="11" customFormat="1" ht="25.2" customHeight="1" x14ac:dyDescent="0.3">
      <c r="B5" s="16" t="s">
        <v>1020</v>
      </c>
      <c r="C5" s="16" t="s">
        <v>1013</v>
      </c>
      <c r="D5" s="55">
        <v>0.86736483418713051</v>
      </c>
      <c r="E5" s="55">
        <v>0.8771430211372061</v>
      </c>
      <c r="F5" s="55"/>
      <c r="G5" s="55"/>
      <c r="H5" s="55">
        <v>0.92866911590553647</v>
      </c>
      <c r="I5" s="55"/>
      <c r="J5" s="55"/>
      <c r="K5" s="55"/>
      <c r="L5" s="55"/>
      <c r="M5" s="55"/>
    </row>
    <row r="6" spans="1:13" s="11" customFormat="1" ht="25.2" customHeight="1" x14ac:dyDescent="0.3">
      <c r="B6" s="16" t="s">
        <v>43</v>
      </c>
      <c r="C6" s="16" t="s">
        <v>1013</v>
      </c>
      <c r="D6" s="55">
        <v>0.89976481938502273</v>
      </c>
      <c r="E6" s="55">
        <v>0.9127695211550213</v>
      </c>
      <c r="F6" s="55"/>
      <c r="G6" s="55"/>
      <c r="H6" s="55"/>
      <c r="I6" s="55"/>
      <c r="J6" s="55"/>
      <c r="K6" s="55">
        <v>0.6182349992009416</v>
      </c>
      <c r="L6" s="55"/>
      <c r="M6" s="55"/>
    </row>
    <row r="7" spans="1:13" s="11" customFormat="1" ht="25.2" customHeight="1" x14ac:dyDescent="0.3">
      <c r="B7" s="16" t="s">
        <v>412</v>
      </c>
      <c r="C7" s="16" t="s">
        <v>1013</v>
      </c>
      <c r="D7" s="55">
        <v>0.99901766457278207</v>
      </c>
      <c r="E7" s="55">
        <v>0.9960508626218052</v>
      </c>
      <c r="F7" s="55"/>
      <c r="G7" s="55"/>
      <c r="H7" s="55"/>
      <c r="I7" s="55"/>
      <c r="J7" s="55"/>
      <c r="K7" s="55">
        <v>0.84636885637884263</v>
      </c>
      <c r="L7" s="55"/>
      <c r="M7" s="55"/>
    </row>
    <row r="8" spans="1:13" s="11" customFormat="1" ht="25.2" customHeight="1" x14ac:dyDescent="0.3">
      <c r="B8" s="16" t="s">
        <v>1031</v>
      </c>
      <c r="C8" s="16" t="s">
        <v>1013</v>
      </c>
      <c r="D8" s="55"/>
      <c r="E8" s="55">
        <v>0.4179134676318092</v>
      </c>
      <c r="F8" s="55"/>
      <c r="G8" s="55"/>
      <c r="H8" s="55">
        <v>3.6185597999284322E-2</v>
      </c>
      <c r="I8" s="55"/>
      <c r="J8" s="55"/>
      <c r="K8" s="55">
        <v>0.9793908434289722</v>
      </c>
      <c r="L8" s="55"/>
      <c r="M8" s="55"/>
    </row>
    <row r="9" spans="1:13" s="11" customFormat="1" ht="25.2" customHeight="1" x14ac:dyDescent="0.3">
      <c r="B9" s="16" t="s">
        <v>884</v>
      </c>
      <c r="C9" s="16" t="s">
        <v>1013</v>
      </c>
      <c r="D9" s="55"/>
      <c r="E9" s="55">
        <v>7.664736547639675E-3</v>
      </c>
      <c r="F9" s="55">
        <v>0.22892912091107978</v>
      </c>
      <c r="G9" s="55">
        <v>9.5140895675595305E-2</v>
      </c>
      <c r="H9" s="55">
        <v>0.97933120999434731</v>
      </c>
      <c r="I9" s="55">
        <v>6.1498222206125684E-2</v>
      </c>
      <c r="J9" s="55">
        <v>0.27566996500837299</v>
      </c>
      <c r="K9" s="55">
        <v>0.57951619653425313</v>
      </c>
      <c r="L9" s="55">
        <v>0.86144929822665972</v>
      </c>
      <c r="M9" s="55">
        <v>0.17096488702425053</v>
      </c>
    </row>
    <row r="10" spans="1:13" s="11" customFormat="1" ht="25.2" customHeight="1" x14ac:dyDescent="0.3">
      <c r="B10" s="19" t="s">
        <v>50</v>
      </c>
      <c r="C10" s="19" t="s">
        <v>1013</v>
      </c>
      <c r="D10" s="57"/>
      <c r="E10" s="57">
        <v>0.96904897897346598</v>
      </c>
      <c r="F10" s="57">
        <v>0.99134669998371339</v>
      </c>
      <c r="G10" s="57">
        <v>1.356474697044556E-2</v>
      </c>
      <c r="H10" s="57">
        <v>0.99998510280253949</v>
      </c>
      <c r="I10" s="57">
        <v>0.53427006199649363</v>
      </c>
      <c r="J10" s="57">
        <v>0.76838107676388223</v>
      </c>
      <c r="K10" s="57">
        <v>0.53000502139720695</v>
      </c>
      <c r="L10" s="57">
        <v>0.13249566760698994</v>
      </c>
      <c r="M10" s="57">
        <v>7.9489017791576425E-2</v>
      </c>
    </row>
    <row r="11" spans="1:13" ht="25.2" customHeight="1" x14ac:dyDescent="0.25">
      <c r="B11" s="50" t="s">
        <v>0</v>
      </c>
      <c r="C11" s="50" t="s">
        <v>1012</v>
      </c>
      <c r="D11" s="80" t="s">
        <v>556</v>
      </c>
      <c r="E11" s="80" t="s">
        <v>498</v>
      </c>
      <c r="F11" s="80" t="s">
        <v>502</v>
      </c>
      <c r="G11" s="80" t="s">
        <v>559</v>
      </c>
      <c r="H11" s="80" t="s">
        <v>503</v>
      </c>
      <c r="I11" s="80" t="s">
        <v>504</v>
      </c>
      <c r="J11" s="80" t="s">
        <v>505</v>
      </c>
      <c r="K11" s="80" t="s">
        <v>499</v>
      </c>
      <c r="L11" s="80" t="s">
        <v>561</v>
      </c>
      <c r="M11" s="80" t="s">
        <v>7</v>
      </c>
    </row>
    <row r="12" spans="1:13" ht="25.2" customHeight="1" x14ac:dyDescent="0.25">
      <c r="B12" s="16" t="s">
        <v>516</v>
      </c>
      <c r="C12" s="16" t="s">
        <v>564</v>
      </c>
      <c r="D12" s="55">
        <v>0.99446430442484024</v>
      </c>
      <c r="E12" s="55">
        <v>0.98823926316519162</v>
      </c>
      <c r="F12" s="55"/>
      <c r="G12" s="55">
        <v>0.92906781672085603</v>
      </c>
      <c r="H12" s="55">
        <v>0.87621101224209608</v>
      </c>
      <c r="I12" s="55"/>
      <c r="J12" s="55"/>
      <c r="K12" s="55"/>
      <c r="L12" s="55"/>
      <c r="M12" s="55"/>
    </row>
    <row r="13" spans="1:13" ht="25.2" customHeight="1" x14ac:dyDescent="0.25">
      <c r="B13" s="16" t="s">
        <v>1020</v>
      </c>
      <c r="C13" s="16" t="s">
        <v>564</v>
      </c>
      <c r="D13" s="55">
        <v>0.3462115676115341</v>
      </c>
      <c r="E13" s="55">
        <v>0.90260138035491932</v>
      </c>
      <c r="F13" s="55"/>
      <c r="G13" s="55"/>
      <c r="H13" s="55">
        <v>0.21996193959468799</v>
      </c>
      <c r="I13" s="55"/>
      <c r="J13" s="55"/>
      <c r="K13" s="55"/>
      <c r="L13" s="55"/>
      <c r="M13" s="55"/>
    </row>
    <row r="14" spans="1:13" ht="25.2" customHeight="1" x14ac:dyDescent="0.25">
      <c r="B14" s="16" t="s">
        <v>43</v>
      </c>
      <c r="C14" s="16" t="s">
        <v>564</v>
      </c>
      <c r="D14" s="55">
        <v>7.2485687009803901E-2</v>
      </c>
      <c r="E14" s="55">
        <v>0.49444984989684237</v>
      </c>
      <c r="F14" s="55"/>
      <c r="G14" s="55"/>
      <c r="H14" s="55"/>
      <c r="I14" s="55"/>
      <c r="J14" s="55"/>
      <c r="K14" s="55">
        <v>0.83206404295575531</v>
      </c>
      <c r="L14" s="55"/>
      <c r="M14" s="55"/>
    </row>
    <row r="15" spans="1:13" ht="25.2" customHeight="1" x14ac:dyDescent="0.25">
      <c r="B15" s="16" t="s">
        <v>412</v>
      </c>
      <c r="C15" s="16" t="s">
        <v>564</v>
      </c>
      <c r="D15" s="55">
        <v>0.98998147513989676</v>
      </c>
      <c r="E15" s="55">
        <v>0.98286662733914731</v>
      </c>
      <c r="F15" s="55"/>
      <c r="G15" s="55"/>
      <c r="H15" s="55"/>
      <c r="I15" s="55"/>
      <c r="J15" s="55"/>
      <c r="K15" s="55">
        <v>0.89360757593536222</v>
      </c>
      <c r="L15" s="55"/>
      <c r="M15" s="55"/>
    </row>
    <row r="16" spans="1:13" ht="25.2" customHeight="1" x14ac:dyDescent="0.25">
      <c r="B16" s="19" t="s">
        <v>1031</v>
      </c>
      <c r="C16" s="19" t="s">
        <v>564</v>
      </c>
      <c r="D16" s="57"/>
      <c r="E16" s="57">
        <v>8.0739883854966193E-2</v>
      </c>
      <c r="F16" s="57"/>
      <c r="G16" s="57"/>
      <c r="H16" s="57">
        <v>9.3362018839096644E-2</v>
      </c>
      <c r="I16" s="57"/>
      <c r="J16" s="57"/>
      <c r="K16" s="57">
        <v>0.88672115230254189</v>
      </c>
      <c r="L16" s="57"/>
      <c r="M16" s="57"/>
    </row>
    <row r="17" spans="2:3" ht="25.2" customHeight="1" x14ac:dyDescent="0.25">
      <c r="B17" s="51" t="s">
        <v>1008</v>
      </c>
      <c r="C17" s="51"/>
    </row>
  </sheetData>
  <mergeCells count="1">
    <mergeCell ref="B2:M2"/>
  </mergeCells>
  <conditionalFormatting sqref="A3:XFD3 B11:M11 B17:C1048576">
    <cfRule type="cellIs" dxfId="36" priority="6" operator="equal">
      <formula>"&lt; LOD"</formula>
    </cfRule>
    <cfRule type="cellIs" dxfId="35" priority="7" operator="equal">
      <formula>"&lt; LOQ"</formula>
    </cfRule>
  </conditionalFormatting>
  <conditionalFormatting sqref="D4:M10 D12:M16">
    <cfRule type="cellIs" dxfId="34" priority="1" operator="greaterThanOrEqual">
      <formula>0.7</formula>
    </cfRule>
    <cfRule type="cellIs" dxfId="33" priority="2" operator="greaterThanOrEqual">
      <formula>0.7</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F9DF3-AA09-4EE8-A31A-EE9E5B03D652}">
  <sheetPr codeName="Sheet16"/>
  <dimension ref="B1:M19"/>
  <sheetViews>
    <sheetView zoomScale="85" zoomScaleNormal="85" workbookViewId="0">
      <selection activeCell="B12" sqref="B12"/>
    </sheetView>
  </sheetViews>
  <sheetFormatPr defaultColWidth="19.6640625" defaultRowHeight="25.2" customHeight="1" x14ac:dyDescent="0.3"/>
  <cols>
    <col min="1" max="1" width="6.33203125" style="10" customWidth="1"/>
    <col min="2" max="2" width="44.5546875" style="10" customWidth="1"/>
    <col min="3" max="3" width="8.88671875" style="10" customWidth="1"/>
    <col min="4" max="16384" width="19.6640625" style="10"/>
  </cols>
  <sheetData>
    <row r="1" spans="2:13" ht="13.2" customHeight="1" x14ac:dyDescent="0.3"/>
    <row r="2" spans="2:13" s="1" customFormat="1" ht="28.5" customHeight="1" x14ac:dyDescent="0.25">
      <c r="B2" s="158" t="s">
        <v>1786</v>
      </c>
      <c r="C2" s="158"/>
      <c r="D2" s="158"/>
      <c r="E2" s="158"/>
      <c r="F2" s="158"/>
      <c r="G2" s="158"/>
      <c r="H2" s="158"/>
      <c r="I2" s="158"/>
      <c r="J2" s="158"/>
      <c r="K2" s="158"/>
      <c r="L2" s="158"/>
      <c r="M2" s="158"/>
    </row>
    <row r="3" spans="2:13" ht="21.75" customHeight="1" thickBot="1" x14ac:dyDescent="0.3">
      <c r="B3" s="2" t="s">
        <v>1778</v>
      </c>
      <c r="C3" s="8"/>
      <c r="D3" s="8"/>
      <c r="E3" s="8"/>
      <c r="F3" s="8"/>
      <c r="G3" s="8"/>
      <c r="H3" s="8"/>
      <c r="I3" s="8"/>
      <c r="J3" s="8"/>
      <c r="K3" s="8"/>
      <c r="L3" s="8"/>
      <c r="M3" s="8"/>
    </row>
    <row r="4" spans="2:13" s="12" customFormat="1" ht="25.2" customHeight="1" x14ac:dyDescent="0.3">
      <c r="B4" s="25" t="s">
        <v>567</v>
      </c>
      <c r="C4" s="15" t="s">
        <v>1</v>
      </c>
      <c r="D4" s="7" t="s">
        <v>556</v>
      </c>
      <c r="E4" s="7" t="s">
        <v>498</v>
      </c>
      <c r="F4" s="7" t="s">
        <v>502</v>
      </c>
      <c r="G4" s="7" t="s">
        <v>559</v>
      </c>
      <c r="H4" s="7" t="s">
        <v>503</v>
      </c>
      <c r="I4" s="7" t="s">
        <v>504</v>
      </c>
      <c r="J4" s="7" t="s">
        <v>505</v>
      </c>
      <c r="K4" s="7" t="s">
        <v>499</v>
      </c>
      <c r="L4" s="7" t="s">
        <v>561</v>
      </c>
      <c r="M4" s="7" t="s">
        <v>7</v>
      </c>
    </row>
    <row r="5" spans="2:13" ht="25.2" customHeight="1" x14ac:dyDescent="0.3">
      <c r="B5" s="53" t="s">
        <v>516</v>
      </c>
      <c r="C5" s="11" t="s">
        <v>564</v>
      </c>
      <c r="D5" s="54" t="s">
        <v>568</v>
      </c>
      <c r="E5" s="54" t="s">
        <v>569</v>
      </c>
      <c r="F5" s="54" t="s">
        <v>1716</v>
      </c>
      <c r="G5" s="54" t="s">
        <v>570</v>
      </c>
      <c r="H5" s="54" t="s">
        <v>571</v>
      </c>
      <c r="I5" s="54" t="s">
        <v>1717</v>
      </c>
      <c r="J5" s="54" t="s">
        <v>36</v>
      </c>
      <c r="K5" s="54" t="s">
        <v>572</v>
      </c>
      <c r="L5" s="54" t="s">
        <v>1718</v>
      </c>
      <c r="M5" s="54" t="s">
        <v>573</v>
      </c>
    </row>
    <row r="6" spans="2:13" ht="25.2" customHeight="1" x14ac:dyDescent="0.3">
      <c r="B6" s="53" t="s">
        <v>1020</v>
      </c>
      <c r="C6" s="11" t="s">
        <v>564</v>
      </c>
      <c r="D6" s="54" t="s">
        <v>574</v>
      </c>
      <c r="E6" s="54" t="s">
        <v>575</v>
      </c>
      <c r="F6" s="54" t="s">
        <v>1719</v>
      </c>
      <c r="G6" s="54" t="s">
        <v>1720</v>
      </c>
      <c r="H6" s="54" t="s">
        <v>576</v>
      </c>
      <c r="I6" s="54" t="s">
        <v>1721</v>
      </c>
      <c r="J6" s="54" t="s">
        <v>36</v>
      </c>
      <c r="K6" s="54" t="s">
        <v>577</v>
      </c>
      <c r="L6" s="54" t="s">
        <v>1722</v>
      </c>
      <c r="M6" s="54" t="s">
        <v>1723</v>
      </c>
    </row>
    <row r="7" spans="2:13" ht="25.2" customHeight="1" x14ac:dyDescent="0.3">
      <c r="B7" s="53" t="s">
        <v>43</v>
      </c>
      <c r="C7" s="11" t="s">
        <v>564</v>
      </c>
      <c r="D7" s="54" t="s">
        <v>578</v>
      </c>
      <c r="E7" s="54" t="s">
        <v>579</v>
      </c>
      <c r="F7" s="54" t="s">
        <v>580</v>
      </c>
      <c r="G7" s="54" t="s">
        <v>581</v>
      </c>
      <c r="H7" s="54" t="s">
        <v>582</v>
      </c>
      <c r="I7" s="54" t="s">
        <v>1724</v>
      </c>
      <c r="J7" s="54" t="s">
        <v>1725</v>
      </c>
      <c r="K7" s="54" t="s">
        <v>583</v>
      </c>
      <c r="L7" s="54" t="s">
        <v>1726</v>
      </c>
      <c r="M7" s="54" t="s">
        <v>1727</v>
      </c>
    </row>
    <row r="8" spans="2:13" ht="25.2" customHeight="1" x14ac:dyDescent="0.3">
      <c r="B8" s="53" t="s">
        <v>412</v>
      </c>
      <c r="C8" s="11" t="s">
        <v>564</v>
      </c>
      <c r="D8" s="54" t="s">
        <v>584</v>
      </c>
      <c r="E8" s="54" t="s">
        <v>585</v>
      </c>
      <c r="F8" s="54" t="s">
        <v>586</v>
      </c>
      <c r="G8" s="54" t="s">
        <v>587</v>
      </c>
      <c r="H8" s="54" t="s">
        <v>1728</v>
      </c>
      <c r="I8" s="54" t="s">
        <v>1729</v>
      </c>
      <c r="J8" s="54" t="s">
        <v>1730</v>
      </c>
      <c r="K8" s="54" t="s">
        <v>588</v>
      </c>
      <c r="L8" s="54" t="s">
        <v>589</v>
      </c>
      <c r="M8" s="54" t="s">
        <v>591</v>
      </c>
    </row>
    <row r="9" spans="2:13" ht="25.2" customHeight="1" x14ac:dyDescent="0.3">
      <c r="B9" s="53" t="s">
        <v>414</v>
      </c>
      <c r="C9" s="11" t="s">
        <v>564</v>
      </c>
      <c r="D9" s="54" t="s">
        <v>592</v>
      </c>
      <c r="E9" s="54" t="s">
        <v>593</v>
      </c>
      <c r="F9" s="54" t="s">
        <v>594</v>
      </c>
      <c r="G9" s="54" t="s">
        <v>595</v>
      </c>
      <c r="H9" s="54" t="s">
        <v>1731</v>
      </c>
      <c r="I9" s="54" t="s">
        <v>596</v>
      </c>
      <c r="J9" s="54" t="s">
        <v>1732</v>
      </c>
      <c r="K9" s="54" t="s">
        <v>597</v>
      </c>
      <c r="L9" s="54" t="s">
        <v>1733</v>
      </c>
      <c r="M9" s="54" t="s">
        <v>1734</v>
      </c>
    </row>
    <row r="10" spans="2:13" ht="25.2" customHeight="1" x14ac:dyDescent="0.3">
      <c r="B10" s="10" t="s">
        <v>49</v>
      </c>
      <c r="C10" s="11" t="s">
        <v>564</v>
      </c>
      <c r="D10" s="54" t="s">
        <v>1735</v>
      </c>
      <c r="E10" s="54" t="s">
        <v>1736</v>
      </c>
      <c r="F10" s="54" t="s">
        <v>1737</v>
      </c>
      <c r="G10" s="54" t="s">
        <v>1738</v>
      </c>
      <c r="H10" s="54" t="s">
        <v>1739</v>
      </c>
      <c r="I10" s="54" t="s">
        <v>1740</v>
      </c>
      <c r="J10" s="54" t="s">
        <v>1741</v>
      </c>
      <c r="K10" s="54" t="s">
        <v>1742</v>
      </c>
      <c r="L10" s="54" t="s">
        <v>1743</v>
      </c>
      <c r="M10" s="54" t="s">
        <v>1744</v>
      </c>
    </row>
    <row r="11" spans="2:13" ht="25.2" customHeight="1" x14ac:dyDescent="0.3">
      <c r="B11" s="13" t="s">
        <v>552</v>
      </c>
      <c r="C11" s="14" t="s">
        <v>564</v>
      </c>
      <c r="D11" s="59" t="s">
        <v>1745</v>
      </c>
      <c r="E11" s="59" t="s">
        <v>1746</v>
      </c>
      <c r="F11" s="59" t="s">
        <v>1747</v>
      </c>
      <c r="G11" s="59" t="s">
        <v>1748</v>
      </c>
      <c r="H11" s="59" t="s">
        <v>1749</v>
      </c>
      <c r="I11" s="59" t="s">
        <v>1750</v>
      </c>
      <c r="J11" s="59" t="s">
        <v>1751</v>
      </c>
      <c r="K11" s="59" t="s">
        <v>1752</v>
      </c>
      <c r="L11" s="59" t="s">
        <v>1753</v>
      </c>
      <c r="M11" s="59" t="s">
        <v>1754</v>
      </c>
    </row>
    <row r="12" spans="2:13" ht="25.2" customHeight="1" x14ac:dyDescent="0.3">
      <c r="B12" s="52" t="s">
        <v>1860</v>
      </c>
      <c r="C12" s="11"/>
      <c r="D12" s="33"/>
      <c r="E12" s="33"/>
      <c r="F12" s="33"/>
      <c r="G12" s="33"/>
      <c r="H12" s="33"/>
      <c r="I12" s="33"/>
      <c r="J12" s="33"/>
      <c r="K12" s="33"/>
      <c r="L12" s="33"/>
      <c r="M12" s="33"/>
    </row>
    <row r="13" spans="2:13" ht="25.2" customHeight="1" thickBot="1" x14ac:dyDescent="0.3">
      <c r="B13" s="89" t="s">
        <v>1779</v>
      </c>
      <c r="C13" s="8"/>
      <c r="D13" s="8"/>
      <c r="E13" s="8"/>
      <c r="F13" s="8"/>
      <c r="G13" s="8"/>
      <c r="H13" s="8"/>
      <c r="I13" s="8"/>
      <c r="J13" s="8"/>
      <c r="K13" s="8"/>
      <c r="L13" s="8"/>
      <c r="M13" s="8"/>
    </row>
    <row r="14" spans="2:13" s="12" customFormat="1" ht="25.2" customHeight="1" x14ac:dyDescent="0.3">
      <c r="B14" s="25" t="s">
        <v>0</v>
      </c>
      <c r="C14" s="15" t="s">
        <v>1</v>
      </c>
      <c r="D14" s="7" t="s">
        <v>556</v>
      </c>
      <c r="E14" s="7" t="s">
        <v>498</v>
      </c>
      <c r="F14" s="7" t="s">
        <v>502</v>
      </c>
      <c r="G14" s="7" t="s">
        <v>559</v>
      </c>
      <c r="H14" s="7" t="s">
        <v>503</v>
      </c>
      <c r="I14" s="7" t="s">
        <v>504</v>
      </c>
      <c r="J14" s="7" t="s">
        <v>505</v>
      </c>
      <c r="K14" s="7" t="s">
        <v>499</v>
      </c>
      <c r="L14" s="7" t="s">
        <v>561</v>
      </c>
      <c r="M14" s="7" t="s">
        <v>601</v>
      </c>
    </row>
    <row r="15" spans="2:13" ht="25.2" customHeight="1" x14ac:dyDescent="0.3">
      <c r="B15" s="24" t="s">
        <v>599</v>
      </c>
      <c r="C15" s="11" t="s">
        <v>564</v>
      </c>
      <c r="D15" s="55">
        <v>0.69800155494120975</v>
      </c>
      <c r="E15" s="55">
        <v>0.26114134062748579</v>
      </c>
      <c r="F15" s="55">
        <v>0.25738442658726046</v>
      </c>
      <c r="G15" s="55">
        <v>9.0017420146433838E-2</v>
      </c>
      <c r="H15" s="55">
        <v>6.1045543143222497E-2</v>
      </c>
      <c r="I15" s="55">
        <v>0.55589788973129584</v>
      </c>
      <c r="J15" s="55">
        <v>0.84642617417300592</v>
      </c>
      <c r="K15" s="55">
        <v>5.4583049060192956E-2</v>
      </c>
      <c r="L15" s="55">
        <v>0.59467483203182936</v>
      </c>
      <c r="M15" s="55">
        <v>0.32787857862597619</v>
      </c>
    </row>
    <row r="16" spans="2:13" ht="25.2" customHeight="1" x14ac:dyDescent="0.3">
      <c r="B16" s="24" t="s">
        <v>600</v>
      </c>
      <c r="C16" s="11" t="s">
        <v>564</v>
      </c>
      <c r="D16" s="55">
        <v>0.15215341956240483</v>
      </c>
      <c r="E16" s="55">
        <v>0.24857721947388231</v>
      </c>
      <c r="F16" s="55">
        <v>0.26852553888848268</v>
      </c>
      <c r="G16" s="55">
        <v>0.15721146882973352</v>
      </c>
      <c r="H16" s="55">
        <v>8.5158044206989719E-2</v>
      </c>
      <c r="I16" s="55">
        <v>0.87039303435942139</v>
      </c>
      <c r="J16" s="55">
        <v>0.33522599592940944</v>
      </c>
      <c r="K16" s="55">
        <v>0.40099822732126428</v>
      </c>
      <c r="L16" s="55">
        <v>0.20882045673817326</v>
      </c>
      <c r="M16" s="55">
        <v>0.30279406569391398</v>
      </c>
    </row>
    <row r="17" spans="2:13" ht="25.2" customHeight="1" x14ac:dyDescent="0.3">
      <c r="B17" s="24" t="s">
        <v>696</v>
      </c>
      <c r="C17" s="11" t="s">
        <v>564</v>
      </c>
      <c r="D17" s="55">
        <v>3.5152616376658057E-2</v>
      </c>
      <c r="E17" s="55">
        <v>4.0245961011275443E-2</v>
      </c>
      <c r="F17" s="55">
        <v>0.53180222390647636</v>
      </c>
      <c r="G17" s="55">
        <v>0.37486212304931343</v>
      </c>
      <c r="H17" s="55">
        <v>0.15325170007940656</v>
      </c>
      <c r="I17" s="55">
        <v>7.4500310639322553E-2</v>
      </c>
      <c r="J17" s="55">
        <v>0.55763053314345845</v>
      </c>
      <c r="K17" s="55">
        <v>0.70394753707568058</v>
      </c>
      <c r="L17" s="55">
        <v>0.61223124342105384</v>
      </c>
      <c r="M17" s="55">
        <v>0.41723799968683561</v>
      </c>
    </row>
    <row r="18" spans="2:13" ht="25.2" customHeight="1" x14ac:dyDescent="0.3">
      <c r="B18" s="56" t="s">
        <v>1047</v>
      </c>
      <c r="C18" s="14" t="s">
        <v>564</v>
      </c>
      <c r="D18" s="57">
        <v>6.8262754671001097E-2</v>
      </c>
      <c r="E18" s="57">
        <v>0.31140511938372628</v>
      </c>
      <c r="F18" s="57">
        <v>0.36958619338617832</v>
      </c>
      <c r="G18" s="57">
        <v>0.96283887216158681</v>
      </c>
      <c r="H18" s="57">
        <v>0.29178178855981779</v>
      </c>
      <c r="I18" s="57">
        <v>0.31852312996797499</v>
      </c>
      <c r="J18" s="57">
        <v>0.85554896679662862</v>
      </c>
      <c r="K18" s="57">
        <v>0.18410059156216094</v>
      </c>
      <c r="L18" s="57">
        <v>2.9326701154014582E-2</v>
      </c>
      <c r="M18" s="57">
        <v>0.38545734981564206</v>
      </c>
    </row>
    <row r="19" spans="2:13" ht="25.2" customHeight="1" x14ac:dyDescent="0.3">
      <c r="B19" s="58" t="s">
        <v>630</v>
      </c>
    </row>
  </sheetData>
  <mergeCells count="1">
    <mergeCell ref="B2:M2"/>
  </mergeCells>
  <conditionalFormatting sqref="D15:M18">
    <cfRule type="cellIs" dxfId="32" priority="21" operator="lessThan">
      <formula>0.05</formula>
    </cfRule>
  </conditionalFormatting>
  <conditionalFormatting sqref="N2:XFD2">
    <cfRule type="cellIs" dxfId="31" priority="1" operator="equal">
      <formula>"&lt; LOD"</formula>
    </cfRule>
    <cfRule type="cellIs" dxfId="30" priority="2" operator="equal">
      <formula>"&lt; LOQ"</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FF3FA-A169-468D-9A39-570FCE83E8FB}">
  <dimension ref="B1:U19"/>
  <sheetViews>
    <sheetView zoomScale="85" zoomScaleNormal="85" workbookViewId="0">
      <selection activeCell="H22" sqref="H22"/>
    </sheetView>
  </sheetViews>
  <sheetFormatPr defaultColWidth="8.88671875" defaultRowHeight="24.9" customHeight="1" x14ac:dyDescent="0.3"/>
  <cols>
    <col min="1" max="1" width="6.33203125" style="10" customWidth="1"/>
    <col min="2" max="2" width="32.5546875" style="24" customWidth="1"/>
    <col min="3" max="18" width="18.33203125" style="10" customWidth="1"/>
    <col min="19" max="16384" width="8.88671875" style="10"/>
  </cols>
  <sheetData>
    <row r="1" spans="2:21" ht="13.2" customHeight="1" x14ac:dyDescent="0.3"/>
    <row r="2" spans="2:21" s="1" customFormat="1" ht="32.25" customHeight="1" x14ac:dyDescent="0.25">
      <c r="B2" s="158" t="s">
        <v>1802</v>
      </c>
      <c r="C2" s="158"/>
      <c r="D2" s="158"/>
      <c r="E2" s="158"/>
      <c r="F2" s="158"/>
      <c r="G2" s="158"/>
      <c r="H2" s="158"/>
      <c r="I2" s="158"/>
      <c r="J2" s="158"/>
      <c r="K2" s="158"/>
      <c r="L2" s="158"/>
      <c r="M2" s="158"/>
      <c r="N2" s="86"/>
      <c r="O2" s="99"/>
      <c r="P2" s="99"/>
      <c r="Q2" s="99"/>
      <c r="R2" s="99"/>
      <c r="S2" s="99"/>
      <c r="T2" s="99"/>
      <c r="U2" s="99"/>
    </row>
    <row r="3" spans="2:21" ht="13.8" thickBot="1" x14ac:dyDescent="0.3">
      <c r="B3" s="61" t="s">
        <v>1780</v>
      </c>
      <c r="C3" s="8"/>
      <c r="D3" s="8"/>
      <c r="E3" s="8"/>
      <c r="F3" s="8"/>
      <c r="G3" s="8"/>
      <c r="H3" s="8"/>
      <c r="I3" s="8"/>
      <c r="J3" s="8"/>
      <c r="K3" s="8"/>
      <c r="L3" s="8"/>
      <c r="M3" s="8"/>
      <c r="N3" s="8"/>
    </row>
    <row r="4" spans="2:21" ht="24.9" customHeight="1" x14ac:dyDescent="0.3">
      <c r="B4" s="6" t="s">
        <v>0</v>
      </c>
      <c r="C4" s="7" t="s">
        <v>556</v>
      </c>
      <c r="D4" s="7" t="s">
        <v>557</v>
      </c>
      <c r="E4" s="7" t="s">
        <v>558</v>
      </c>
      <c r="F4" s="7" t="s">
        <v>498</v>
      </c>
      <c r="G4" s="7" t="s">
        <v>502</v>
      </c>
      <c r="H4" s="7" t="s">
        <v>559</v>
      </c>
      <c r="I4" s="7" t="s">
        <v>503</v>
      </c>
      <c r="J4" s="7" t="s">
        <v>504</v>
      </c>
      <c r="K4" s="7" t="s">
        <v>505</v>
      </c>
      <c r="L4" s="7" t="s">
        <v>499</v>
      </c>
      <c r="M4" s="7" t="s">
        <v>561</v>
      </c>
      <c r="N4" s="7" t="s">
        <v>601</v>
      </c>
    </row>
    <row r="5" spans="2:21" ht="24.9" customHeight="1" x14ac:dyDescent="0.3">
      <c r="B5" s="24" t="s">
        <v>516</v>
      </c>
      <c r="C5" s="49">
        <v>6.2675416786914825E-4</v>
      </c>
      <c r="D5" s="49"/>
      <c r="E5" s="49">
        <v>3.2239778686184487E-4</v>
      </c>
      <c r="F5" s="49">
        <v>6.3217114022487354E-4</v>
      </c>
      <c r="G5" s="49"/>
      <c r="H5" s="49">
        <v>1.5201505692353061E-3</v>
      </c>
      <c r="I5" s="49"/>
      <c r="J5" s="49"/>
      <c r="K5" s="49">
        <v>1.1777056265605496E-4</v>
      </c>
      <c r="L5" s="49"/>
      <c r="M5" s="49"/>
      <c r="N5" s="49"/>
    </row>
    <row r="6" spans="2:21" ht="24.9" customHeight="1" x14ac:dyDescent="0.3">
      <c r="B6" s="24" t="s">
        <v>40</v>
      </c>
      <c r="C6" s="49">
        <v>3.084134779908773E-4</v>
      </c>
      <c r="D6" s="49"/>
      <c r="E6" s="49">
        <v>0.17553130259706032</v>
      </c>
      <c r="F6" s="49">
        <v>2.8930816212791293E-5</v>
      </c>
      <c r="G6" s="49"/>
      <c r="H6" s="49">
        <v>5.2204010337590339E-5</v>
      </c>
      <c r="I6" s="49"/>
      <c r="J6" s="49"/>
      <c r="K6" s="49">
        <v>8.6216828667378426E-5</v>
      </c>
      <c r="L6" s="49"/>
      <c r="M6" s="49"/>
      <c r="N6" s="49"/>
    </row>
    <row r="7" spans="2:21" ht="24.9" customHeight="1" x14ac:dyDescent="0.3">
      <c r="B7" s="24" t="s">
        <v>43</v>
      </c>
      <c r="C7" s="49">
        <v>4.3807846294774662E-6</v>
      </c>
      <c r="D7" s="49"/>
      <c r="E7" s="49">
        <v>8.1485450697481532E-2</v>
      </c>
      <c r="F7" s="49">
        <v>2.5007134638318479E-5</v>
      </c>
      <c r="G7" s="49"/>
      <c r="H7" s="49">
        <v>8.7912022712039156E-2</v>
      </c>
      <c r="I7" s="49"/>
      <c r="J7" s="49"/>
      <c r="K7" s="49"/>
      <c r="L7" s="49">
        <v>4.2387781530662502E-4</v>
      </c>
      <c r="M7" s="49"/>
      <c r="N7" s="49"/>
    </row>
    <row r="8" spans="2:21" ht="24.9" customHeight="1" x14ac:dyDescent="0.3">
      <c r="B8" s="24" t="s">
        <v>412</v>
      </c>
      <c r="C8" s="49">
        <v>1.0691171500651032E-3</v>
      </c>
      <c r="D8" s="49"/>
      <c r="E8" s="49">
        <v>3.4531004302661643E-4</v>
      </c>
      <c r="F8" s="49">
        <v>7.2956842928956328E-5</v>
      </c>
      <c r="G8" s="49"/>
      <c r="H8" s="49">
        <v>6.8043127224477265E-2</v>
      </c>
      <c r="I8" s="49">
        <v>1.5912634978613609E-2</v>
      </c>
      <c r="J8" s="49"/>
      <c r="K8" s="49"/>
      <c r="L8" s="49">
        <v>2.5981941604903461E-3</v>
      </c>
      <c r="M8" s="49"/>
      <c r="N8" s="49"/>
    </row>
    <row r="9" spans="2:21" ht="24.9" customHeight="1" x14ac:dyDescent="0.3">
      <c r="B9" s="24" t="s">
        <v>414</v>
      </c>
      <c r="C9" s="49">
        <v>7.5766176411375705E-4</v>
      </c>
      <c r="D9" s="49">
        <v>2.2657906564605887E-3</v>
      </c>
      <c r="E9" s="49">
        <v>6.4422605913728684E-2</v>
      </c>
      <c r="F9" s="49">
        <v>8.937578727590237E-4</v>
      </c>
      <c r="G9" s="49"/>
      <c r="H9" s="49">
        <v>0.3199340897569467</v>
      </c>
      <c r="I9" s="49"/>
      <c r="J9" s="49"/>
      <c r="K9" s="49"/>
      <c r="L9" s="49">
        <v>1.3322179252133986E-3</v>
      </c>
      <c r="M9" s="49"/>
      <c r="N9" s="49"/>
    </row>
    <row r="10" spans="2:21" ht="24.9" customHeight="1" x14ac:dyDescent="0.3">
      <c r="B10" s="24" t="s">
        <v>49</v>
      </c>
      <c r="C10" s="49">
        <v>4.0518546019449734E-5</v>
      </c>
      <c r="D10" s="49">
        <v>1.2408436004350472E-4</v>
      </c>
      <c r="E10" s="49">
        <v>1.3079847994993841E-2</v>
      </c>
      <c r="F10" s="49">
        <v>4.4463488195170493E-2</v>
      </c>
      <c r="G10" s="49">
        <v>8.7579310989634951E-2</v>
      </c>
      <c r="H10" s="49">
        <v>1.0606177711889465E-4</v>
      </c>
      <c r="I10" s="49"/>
      <c r="J10" s="49">
        <v>3.7017740630909556E-6</v>
      </c>
      <c r="K10" s="49">
        <v>2.6347792736691988E-5</v>
      </c>
      <c r="L10" s="49">
        <v>3.1582206342193003E-5</v>
      </c>
      <c r="M10" s="49">
        <v>1.4101202740320262E-2</v>
      </c>
      <c r="N10" s="49">
        <v>7.3034103363823393E-5</v>
      </c>
    </row>
    <row r="11" spans="2:21" ht="24.9" customHeight="1" x14ac:dyDescent="0.3">
      <c r="B11" s="56" t="s">
        <v>50</v>
      </c>
      <c r="C11" s="22">
        <v>2.7147822211678759E-3</v>
      </c>
      <c r="D11" s="22">
        <v>0.17188369514129256</v>
      </c>
      <c r="E11" s="22">
        <v>1.9241989665632622E-4</v>
      </c>
      <c r="F11" s="22">
        <v>7.3900130780802522E-5</v>
      </c>
      <c r="G11" s="22">
        <v>0.17728214284066274</v>
      </c>
      <c r="H11" s="22">
        <v>1.3245725637215964E-4</v>
      </c>
      <c r="I11" s="22"/>
      <c r="J11" s="22">
        <v>1.2250274879449189E-3</v>
      </c>
      <c r="K11" s="22">
        <v>5.9351854305112499E-3</v>
      </c>
      <c r="L11" s="22">
        <v>2.1743550691495773E-5</v>
      </c>
      <c r="M11" s="22">
        <v>2.669650327639751E-4</v>
      </c>
      <c r="N11" s="22">
        <v>1.0431522213984657E-2</v>
      </c>
    </row>
    <row r="12" spans="2:21" ht="24.9" customHeight="1" x14ac:dyDescent="0.3">
      <c r="B12" s="58" t="s">
        <v>685</v>
      </c>
      <c r="C12" s="64"/>
      <c r="D12" s="64"/>
      <c r="E12" s="64"/>
      <c r="F12" s="64"/>
      <c r="G12" s="64"/>
      <c r="H12" s="64"/>
      <c r="I12" s="64"/>
      <c r="J12" s="64"/>
      <c r="K12" s="64"/>
      <c r="L12" s="64"/>
      <c r="M12" s="64"/>
      <c r="N12" s="64"/>
    </row>
    <row r="13" spans="2:21" ht="24.9" customHeight="1" thickBot="1" x14ac:dyDescent="0.3">
      <c r="B13" s="61" t="s">
        <v>1781</v>
      </c>
      <c r="C13" s="65"/>
      <c r="D13" s="65"/>
      <c r="E13" s="65"/>
      <c r="F13" s="65"/>
      <c r="G13" s="65"/>
      <c r="H13" s="65"/>
      <c r="I13" s="65"/>
      <c r="J13" s="65"/>
      <c r="K13" s="65"/>
      <c r="L13" s="65"/>
      <c r="M13" s="65"/>
      <c r="N13" s="65"/>
    </row>
    <row r="14" spans="2:21" ht="24.9" customHeight="1" x14ac:dyDescent="0.3">
      <c r="B14" s="6" t="s">
        <v>0</v>
      </c>
      <c r="C14" s="66" t="s">
        <v>556</v>
      </c>
      <c r="D14" s="66" t="s">
        <v>557</v>
      </c>
      <c r="E14" s="66" t="s">
        <v>558</v>
      </c>
      <c r="F14" s="66" t="s">
        <v>498</v>
      </c>
      <c r="G14" s="66" t="s">
        <v>502</v>
      </c>
      <c r="H14" s="66" t="s">
        <v>559</v>
      </c>
      <c r="I14" s="66" t="s">
        <v>503</v>
      </c>
      <c r="J14" s="66" t="s">
        <v>504</v>
      </c>
      <c r="K14" s="66" t="s">
        <v>505</v>
      </c>
      <c r="L14" s="66" t="s">
        <v>499</v>
      </c>
      <c r="M14" s="66" t="s">
        <v>561</v>
      </c>
      <c r="N14" s="7" t="s">
        <v>601</v>
      </c>
    </row>
    <row r="15" spans="2:21" ht="24.9" customHeight="1" x14ac:dyDescent="0.3">
      <c r="B15" s="24" t="s">
        <v>553</v>
      </c>
      <c r="C15" s="49">
        <v>1.1779054910770503E-2</v>
      </c>
      <c r="D15" s="49"/>
      <c r="E15" s="49">
        <v>5.5413786085784532E-2</v>
      </c>
      <c r="F15" s="49">
        <v>3.6395630336973931E-3</v>
      </c>
      <c r="G15" s="49"/>
      <c r="H15" s="49">
        <v>7.23886020970838E-4</v>
      </c>
      <c r="I15" s="49"/>
      <c r="J15" s="49"/>
      <c r="K15" s="49">
        <v>9.2097318584520329E-6</v>
      </c>
      <c r="L15" s="49"/>
      <c r="M15" s="49"/>
      <c r="N15" s="49"/>
    </row>
    <row r="16" spans="2:21" ht="24.9" customHeight="1" x14ac:dyDescent="0.3">
      <c r="B16" s="24" t="s">
        <v>495</v>
      </c>
      <c r="C16" s="49">
        <v>0.94182778560523994</v>
      </c>
      <c r="D16" s="49"/>
      <c r="E16" s="49">
        <v>1.20429034915929E-4</v>
      </c>
      <c r="F16" s="49">
        <v>1.9693180571022574E-2</v>
      </c>
      <c r="G16" s="49"/>
      <c r="H16" s="49">
        <v>6.416435092469286E-4</v>
      </c>
      <c r="I16" s="49"/>
      <c r="J16" s="49"/>
      <c r="K16" s="49"/>
      <c r="L16" s="49">
        <v>0.12048164832403313</v>
      </c>
      <c r="M16" s="49"/>
      <c r="N16" s="49"/>
    </row>
    <row r="17" spans="2:14" ht="24.9" customHeight="1" x14ac:dyDescent="0.3">
      <c r="B17" s="24" t="s">
        <v>721</v>
      </c>
      <c r="C17" s="49">
        <v>1.7044850394813632E-3</v>
      </c>
      <c r="D17" s="49">
        <v>0.80985144309129675</v>
      </c>
      <c r="E17" s="49">
        <v>1.0900292510357706E-4</v>
      </c>
      <c r="F17" s="49">
        <v>7.0993077308805267E-4</v>
      </c>
      <c r="G17" s="49">
        <v>2.0866617586705926E-4</v>
      </c>
      <c r="H17" s="49">
        <v>0.95837091624313331</v>
      </c>
      <c r="I17" s="49">
        <v>2.0067107941673362E-2</v>
      </c>
      <c r="J17" s="49"/>
      <c r="K17" s="49"/>
      <c r="L17" s="49">
        <v>1.945848499339339E-3</v>
      </c>
      <c r="M17" s="49"/>
      <c r="N17" s="49"/>
    </row>
    <row r="18" spans="2:14" ht="24.9" customHeight="1" x14ac:dyDescent="0.3">
      <c r="B18" s="56" t="s">
        <v>554</v>
      </c>
      <c r="C18" s="22">
        <v>2.47373425909021E-4</v>
      </c>
      <c r="D18" s="22">
        <v>9.4619133985536074E-3</v>
      </c>
      <c r="E18" s="22">
        <v>3.7299020013555268E-4</v>
      </c>
      <c r="F18" s="22">
        <v>6.122718640068389E-3</v>
      </c>
      <c r="G18" s="22">
        <v>3.9473603785453382E-4</v>
      </c>
      <c r="H18" s="22">
        <v>4.6745049078492703E-4</v>
      </c>
      <c r="I18" s="22"/>
      <c r="J18" s="22">
        <v>2.9773967682229069E-4</v>
      </c>
      <c r="K18" s="22">
        <v>8.0438929699551279E-4</v>
      </c>
      <c r="L18" s="22">
        <v>3.4074231294025326E-6</v>
      </c>
      <c r="M18" s="22">
        <v>3.2362045619916758E-4</v>
      </c>
      <c r="N18" s="22">
        <v>6.0051351423355483E-4</v>
      </c>
    </row>
    <row r="19" spans="2:14" ht="24.9" customHeight="1" x14ac:dyDescent="0.3">
      <c r="B19" s="58" t="s">
        <v>686</v>
      </c>
    </row>
  </sheetData>
  <mergeCells count="1">
    <mergeCell ref="B2:M2"/>
  </mergeCells>
  <conditionalFormatting sqref="C5:N13 C14:M14 C15:N19">
    <cfRule type="cellIs" dxfId="29" priority="1" operator="lessThan">
      <formula>0.05</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94228-EB01-4CC1-9D6F-599A9EDE7FA7}">
  <sheetPr codeName="Sheet15"/>
  <dimension ref="B1:E24"/>
  <sheetViews>
    <sheetView zoomScaleNormal="100" workbookViewId="0">
      <pane ySplit="4" topLeftCell="A5" activePane="bottomLeft" state="frozen"/>
      <selection pane="bottomLeft" activeCell="J12" sqref="J12"/>
    </sheetView>
  </sheetViews>
  <sheetFormatPr defaultColWidth="8.88671875" defaultRowHeight="25.2" customHeight="1" x14ac:dyDescent="0.3"/>
  <cols>
    <col min="1" max="1" width="6.33203125" style="10" customWidth="1"/>
    <col min="2" max="2" width="40.88671875" style="24" customWidth="1"/>
    <col min="3" max="3" width="15.5546875" style="11" customWidth="1"/>
    <col min="4" max="5" width="16.88671875" style="10" customWidth="1"/>
    <col min="6" max="8" width="15.109375" style="10" bestFit="1" customWidth="1"/>
    <col min="9" max="16384" width="8.88671875" style="10"/>
  </cols>
  <sheetData>
    <row r="1" spans="2:5" ht="13.2" customHeight="1" x14ac:dyDescent="0.3"/>
    <row r="2" spans="2:5" s="1" customFormat="1" ht="68.25" customHeight="1" x14ac:dyDescent="0.25">
      <c r="B2" s="158" t="s">
        <v>1921</v>
      </c>
      <c r="C2" s="158"/>
      <c r="D2" s="158"/>
      <c r="E2" s="158"/>
    </row>
    <row r="3" spans="2:5" ht="13.8" thickBot="1" x14ac:dyDescent="0.3">
      <c r="B3" s="61" t="s">
        <v>1782</v>
      </c>
      <c r="C3" s="9"/>
      <c r="D3" s="8"/>
      <c r="E3" s="8"/>
    </row>
    <row r="4" spans="2:5" s="44" customFormat="1" ht="25.2" customHeight="1" x14ac:dyDescent="0.3">
      <c r="B4" s="6" t="s">
        <v>0</v>
      </c>
      <c r="C4" s="7" t="s">
        <v>634</v>
      </c>
      <c r="D4" s="7" t="s">
        <v>556</v>
      </c>
      <c r="E4" s="7" t="s">
        <v>498</v>
      </c>
    </row>
    <row r="5" spans="2:5" ht="25.2" customHeight="1" x14ac:dyDescent="0.3">
      <c r="B5" s="23" t="s">
        <v>516</v>
      </c>
      <c r="C5" s="60" t="s">
        <v>635</v>
      </c>
      <c r="D5" s="54">
        <v>278.97525662693874</v>
      </c>
      <c r="E5" s="54">
        <v>1712.2553450168043</v>
      </c>
    </row>
    <row r="6" spans="2:5" ht="25.2" customHeight="1" x14ac:dyDescent="0.3">
      <c r="B6" s="23" t="s">
        <v>516</v>
      </c>
      <c r="C6" s="60" t="s">
        <v>636</v>
      </c>
      <c r="D6" s="54">
        <v>225.1415786556247</v>
      </c>
      <c r="E6" s="54">
        <v>1485.0105866066388</v>
      </c>
    </row>
    <row r="7" spans="2:5" ht="15" customHeight="1" x14ac:dyDescent="0.3">
      <c r="B7" s="23"/>
      <c r="C7" s="60"/>
      <c r="D7" s="54"/>
      <c r="E7" s="54"/>
    </row>
    <row r="8" spans="2:5" ht="25.2" customHeight="1" x14ac:dyDescent="0.3">
      <c r="B8" s="23" t="s">
        <v>1020</v>
      </c>
      <c r="C8" s="60" t="s">
        <v>635</v>
      </c>
      <c r="D8" s="54">
        <v>221.13783940892048</v>
      </c>
      <c r="E8" s="54">
        <v>1102.372139846593</v>
      </c>
    </row>
    <row r="9" spans="2:5" ht="25.2" customHeight="1" x14ac:dyDescent="0.3">
      <c r="B9" s="23" t="s">
        <v>1020</v>
      </c>
      <c r="C9" s="60" t="s">
        <v>636</v>
      </c>
      <c r="D9" s="54">
        <v>198.62152739991703</v>
      </c>
      <c r="E9" s="54">
        <v>1014.7061386052245</v>
      </c>
    </row>
    <row r="10" spans="2:5" ht="15" customHeight="1" x14ac:dyDescent="0.3">
      <c r="B10" s="23"/>
      <c r="C10" s="60"/>
      <c r="D10" s="54"/>
      <c r="E10" s="54"/>
    </row>
    <row r="11" spans="2:5" ht="25.2" customHeight="1" x14ac:dyDescent="0.3">
      <c r="B11" s="23" t="s">
        <v>43</v>
      </c>
      <c r="C11" s="60" t="s">
        <v>635</v>
      </c>
      <c r="D11" s="54">
        <v>278.38935993522659</v>
      </c>
      <c r="E11" s="54">
        <v>1476.838557967465</v>
      </c>
    </row>
    <row r="12" spans="2:5" ht="25.2" customHeight="1" x14ac:dyDescent="0.3">
      <c r="B12" s="23" t="s">
        <v>43</v>
      </c>
      <c r="C12" s="60" t="s">
        <v>636</v>
      </c>
      <c r="D12" s="54">
        <v>163.03105441413933</v>
      </c>
      <c r="E12" s="54">
        <v>816.4407331181859</v>
      </c>
    </row>
    <row r="13" spans="2:5" ht="15" customHeight="1" x14ac:dyDescent="0.3">
      <c r="B13" s="23"/>
      <c r="C13" s="60"/>
      <c r="D13" s="54"/>
      <c r="E13" s="54"/>
    </row>
    <row r="14" spans="2:5" ht="25.2" customHeight="1" x14ac:dyDescent="0.3">
      <c r="B14" s="23" t="s">
        <v>412</v>
      </c>
      <c r="C14" s="60" t="s">
        <v>635</v>
      </c>
      <c r="D14" s="54">
        <v>151.69539888692461</v>
      </c>
      <c r="E14" s="54">
        <v>196.32076343649499</v>
      </c>
    </row>
    <row r="15" spans="2:5" ht="25.2" customHeight="1" x14ac:dyDescent="0.3">
      <c r="B15" s="23" t="s">
        <v>412</v>
      </c>
      <c r="C15" s="60" t="s">
        <v>636</v>
      </c>
      <c r="D15" s="54">
        <v>160.80957634154177</v>
      </c>
      <c r="E15" s="54">
        <v>240.14327854305571</v>
      </c>
    </row>
    <row r="16" spans="2:5" ht="15" customHeight="1" x14ac:dyDescent="0.3">
      <c r="B16" s="23"/>
      <c r="C16" s="60"/>
      <c r="D16" s="54"/>
      <c r="E16" s="54"/>
    </row>
    <row r="17" spans="2:5" ht="25.2" customHeight="1" x14ac:dyDescent="0.3">
      <c r="B17" s="23" t="s">
        <v>414</v>
      </c>
      <c r="C17" s="60" t="s">
        <v>635</v>
      </c>
      <c r="D17" s="54">
        <v>36.855953561577827</v>
      </c>
      <c r="E17" s="54">
        <v>71.075305171496225</v>
      </c>
    </row>
    <row r="18" spans="2:5" ht="25.2" customHeight="1" x14ac:dyDescent="0.3">
      <c r="B18" s="67" t="s">
        <v>414</v>
      </c>
      <c r="C18" s="151" t="s">
        <v>636</v>
      </c>
      <c r="D18" s="59" t="s">
        <v>1919</v>
      </c>
      <c r="E18" s="59">
        <v>107.56660132868322</v>
      </c>
    </row>
    <row r="19" spans="2:5" s="11" customFormat="1" ht="15.6" x14ac:dyDescent="0.3">
      <c r="B19" s="100" t="s">
        <v>1920</v>
      </c>
    </row>
    <row r="20" spans="2:5" s="11" customFormat="1" ht="25.2" customHeight="1" thickBot="1" x14ac:dyDescent="0.3">
      <c r="B20" s="61" t="s">
        <v>1783</v>
      </c>
      <c r="C20" s="9"/>
      <c r="D20" s="9"/>
      <c r="E20" s="9"/>
    </row>
    <row r="21" spans="2:5" ht="25.2" customHeight="1" x14ac:dyDescent="0.3">
      <c r="B21" s="50" t="s">
        <v>0</v>
      </c>
      <c r="C21" s="21" t="s">
        <v>517</v>
      </c>
      <c r="D21" s="21" t="s">
        <v>556</v>
      </c>
      <c r="E21" s="21" t="s">
        <v>498</v>
      </c>
    </row>
    <row r="22" spans="2:5" ht="25.2" customHeight="1" x14ac:dyDescent="0.3">
      <c r="B22" s="24" t="s">
        <v>1922</v>
      </c>
      <c r="C22" s="11" t="s">
        <v>1224</v>
      </c>
      <c r="D22" s="55">
        <v>0.88574441569929308</v>
      </c>
      <c r="E22" s="55">
        <v>0.93690945884460375</v>
      </c>
    </row>
    <row r="23" spans="2:5" ht="25.2" customHeight="1" x14ac:dyDescent="0.3">
      <c r="B23" s="24" t="s">
        <v>1922</v>
      </c>
      <c r="C23" s="11" t="s">
        <v>637</v>
      </c>
      <c r="D23" s="55">
        <v>0.78454316994248186</v>
      </c>
      <c r="E23" s="55">
        <v>0.87779933407248822</v>
      </c>
    </row>
    <row r="24" spans="2:5" ht="13.2" x14ac:dyDescent="0.3">
      <c r="B24" s="141"/>
      <c r="C24" s="140"/>
      <c r="D24" s="140"/>
      <c r="E24" s="140"/>
    </row>
  </sheetData>
  <mergeCells count="1">
    <mergeCell ref="B2:E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E1EAB-7108-42B8-990A-34F94DF88637}">
  <dimension ref="A1:W19"/>
  <sheetViews>
    <sheetView zoomScale="70" zoomScaleNormal="70" workbookViewId="0">
      <selection activeCell="K31" sqref="K31"/>
    </sheetView>
  </sheetViews>
  <sheetFormatPr defaultColWidth="8.88671875" defaultRowHeight="25.2" customHeight="1" x14ac:dyDescent="0.25"/>
  <cols>
    <col min="1" max="1" width="6.33203125" style="1" customWidth="1"/>
    <col min="2" max="2" width="29" style="1" customWidth="1"/>
    <col min="3" max="3" width="16.109375" style="5" customWidth="1"/>
    <col min="4" max="23" width="16.6640625" style="1" customWidth="1"/>
    <col min="24" max="16384" width="8.88671875" style="1"/>
  </cols>
  <sheetData>
    <row r="1" spans="1:23" ht="13.2" customHeight="1" x14ac:dyDescent="0.25">
      <c r="D1" s="10"/>
      <c r="E1" s="10"/>
      <c r="F1" s="10"/>
      <c r="G1" s="10"/>
      <c r="H1" s="10"/>
      <c r="I1" s="10"/>
      <c r="J1" s="10"/>
      <c r="K1" s="10"/>
      <c r="L1" s="10"/>
      <c r="M1" s="10"/>
      <c r="N1" s="10"/>
      <c r="O1" s="10"/>
      <c r="P1" s="10"/>
      <c r="Q1" s="10"/>
      <c r="R1" s="10"/>
      <c r="S1" s="10"/>
      <c r="T1" s="10"/>
      <c r="U1" s="10"/>
      <c r="V1" s="10"/>
    </row>
    <row r="2" spans="1:23" ht="13.8" thickBot="1" x14ac:dyDescent="0.3">
      <c r="B2" s="160" t="s">
        <v>1912</v>
      </c>
      <c r="C2" s="160"/>
      <c r="D2" s="160"/>
      <c r="E2" s="160"/>
      <c r="F2" s="160"/>
      <c r="G2" s="160"/>
      <c r="H2" s="160"/>
      <c r="I2" s="160"/>
      <c r="J2" s="160"/>
      <c r="K2" s="160"/>
      <c r="L2" s="160"/>
      <c r="M2" s="160"/>
      <c r="N2" s="160"/>
      <c r="O2" s="160"/>
      <c r="P2" s="160"/>
      <c r="Q2" s="160"/>
      <c r="R2" s="160"/>
      <c r="S2" s="160"/>
      <c r="T2" s="160"/>
      <c r="U2" s="160"/>
      <c r="V2" s="160"/>
      <c r="W2" s="3"/>
    </row>
    <row r="3" spans="1:23" s="10" customFormat="1" ht="25.2" customHeight="1" x14ac:dyDescent="0.3">
      <c r="A3" s="11"/>
      <c r="B3" s="50" t="s">
        <v>688</v>
      </c>
      <c r="C3" s="21" t="s">
        <v>1012</v>
      </c>
      <c r="D3" s="21" t="s">
        <v>556</v>
      </c>
      <c r="E3" s="21" t="s">
        <v>1806</v>
      </c>
      <c r="F3" s="21" t="s">
        <v>498</v>
      </c>
      <c r="G3" s="21" t="s">
        <v>1809</v>
      </c>
      <c r="H3" s="21" t="s">
        <v>502</v>
      </c>
      <c r="I3" s="21" t="s">
        <v>1810</v>
      </c>
      <c r="J3" s="21" t="s">
        <v>559</v>
      </c>
      <c r="K3" s="21" t="s">
        <v>1811</v>
      </c>
      <c r="L3" s="21" t="s">
        <v>503</v>
      </c>
      <c r="M3" s="21" t="s">
        <v>1812</v>
      </c>
      <c r="N3" s="21" t="s">
        <v>504</v>
      </c>
      <c r="O3" s="21" t="s">
        <v>1813</v>
      </c>
      <c r="P3" s="21" t="s">
        <v>505</v>
      </c>
      <c r="Q3" s="21" t="s">
        <v>1815</v>
      </c>
      <c r="R3" s="21" t="s">
        <v>499</v>
      </c>
      <c r="S3" s="21" t="s">
        <v>1816</v>
      </c>
      <c r="T3" s="21" t="s">
        <v>561</v>
      </c>
      <c r="U3" s="21" t="s">
        <v>1817</v>
      </c>
      <c r="V3" s="21" t="s">
        <v>7</v>
      </c>
      <c r="W3" s="21" t="s">
        <v>1818</v>
      </c>
    </row>
    <row r="4" spans="1:23" s="11" customFormat="1" ht="25.2" customHeight="1" x14ac:dyDescent="0.3">
      <c r="B4" s="16" t="s">
        <v>516</v>
      </c>
      <c r="C4" s="133" t="s">
        <v>564</v>
      </c>
      <c r="D4" s="11" t="s">
        <v>1142</v>
      </c>
      <c r="E4" s="11" t="s">
        <v>1808</v>
      </c>
      <c r="F4" s="11" t="s">
        <v>1143</v>
      </c>
      <c r="H4" s="11" t="s">
        <v>1144</v>
      </c>
      <c r="I4" s="54" t="s">
        <v>1908</v>
      </c>
      <c r="J4" s="11" t="s">
        <v>1145</v>
      </c>
      <c r="K4" s="11" t="s">
        <v>1808</v>
      </c>
      <c r="L4" s="11" t="s">
        <v>1146</v>
      </c>
      <c r="M4" s="11" t="s">
        <v>1808</v>
      </c>
      <c r="N4" s="11" t="s">
        <v>831</v>
      </c>
      <c r="O4" s="54" t="s">
        <v>1908</v>
      </c>
      <c r="P4" s="11" t="s">
        <v>63</v>
      </c>
      <c r="Q4" s="54" t="s">
        <v>1908</v>
      </c>
      <c r="R4" s="11" t="s">
        <v>1147</v>
      </c>
      <c r="S4" s="54" t="s">
        <v>1908</v>
      </c>
      <c r="T4" s="11" t="s">
        <v>90</v>
      </c>
      <c r="U4" s="54" t="s">
        <v>1908</v>
      </c>
      <c r="V4" s="11" t="s">
        <v>1148</v>
      </c>
      <c r="W4" s="54" t="s">
        <v>1908</v>
      </c>
    </row>
    <row r="5" spans="1:23" s="11" customFormat="1" ht="25.2" customHeight="1" x14ac:dyDescent="0.3">
      <c r="B5" s="16" t="s">
        <v>1020</v>
      </c>
      <c r="C5" s="133" t="s">
        <v>564</v>
      </c>
      <c r="D5" s="11" t="s">
        <v>1149</v>
      </c>
      <c r="E5" s="11" t="s">
        <v>1808</v>
      </c>
      <c r="F5" s="11" t="s">
        <v>1150</v>
      </c>
      <c r="H5" s="11" t="s">
        <v>1410</v>
      </c>
      <c r="I5" s="54" t="s">
        <v>1908</v>
      </c>
      <c r="J5" s="11" t="s">
        <v>1411</v>
      </c>
      <c r="K5" s="54" t="s">
        <v>1908</v>
      </c>
      <c r="L5" s="11" t="s">
        <v>1151</v>
      </c>
      <c r="M5" s="11" t="s">
        <v>1808</v>
      </c>
      <c r="N5" s="11" t="s">
        <v>155</v>
      </c>
      <c r="O5" s="54" t="s">
        <v>1908</v>
      </c>
      <c r="P5" s="11" t="s">
        <v>1851</v>
      </c>
      <c r="Q5" s="54" t="s">
        <v>1908</v>
      </c>
      <c r="R5" s="11" t="s">
        <v>1152</v>
      </c>
      <c r="S5" s="54" t="s">
        <v>1807</v>
      </c>
      <c r="T5" s="11" t="s">
        <v>1852</v>
      </c>
      <c r="U5" s="54" t="s">
        <v>1908</v>
      </c>
      <c r="V5" s="11" t="s">
        <v>1853</v>
      </c>
      <c r="W5" s="54" t="s">
        <v>1908</v>
      </c>
    </row>
    <row r="6" spans="1:23" s="11" customFormat="1" ht="25.2" customHeight="1" x14ac:dyDescent="0.3">
      <c r="B6" s="16" t="s">
        <v>43</v>
      </c>
      <c r="C6" s="133" t="s">
        <v>564</v>
      </c>
      <c r="D6" s="11" t="s">
        <v>1153</v>
      </c>
      <c r="E6" s="11" t="s">
        <v>1808</v>
      </c>
      <c r="F6" s="11" t="s">
        <v>1154</v>
      </c>
      <c r="H6" s="11" t="s">
        <v>1412</v>
      </c>
      <c r="I6" s="54" t="s">
        <v>1807</v>
      </c>
      <c r="J6" s="11" t="s">
        <v>1413</v>
      </c>
      <c r="K6" s="54" t="s">
        <v>1807</v>
      </c>
      <c r="L6" s="11" t="s">
        <v>1155</v>
      </c>
      <c r="M6" s="11" t="s">
        <v>1807</v>
      </c>
      <c r="N6" s="11" t="s">
        <v>194</v>
      </c>
      <c r="O6" s="54" t="s">
        <v>1908</v>
      </c>
      <c r="P6" s="11" t="s">
        <v>1854</v>
      </c>
      <c r="Q6" s="54" t="s">
        <v>1908</v>
      </c>
      <c r="R6" s="11" t="s">
        <v>1156</v>
      </c>
      <c r="S6" s="11" t="s">
        <v>1808</v>
      </c>
      <c r="T6" s="11" t="s">
        <v>793</v>
      </c>
      <c r="U6" s="54" t="s">
        <v>1908</v>
      </c>
      <c r="V6" s="11" t="s">
        <v>1855</v>
      </c>
      <c r="W6" s="54" t="s">
        <v>1908</v>
      </c>
    </row>
    <row r="7" spans="1:23" s="11" customFormat="1" ht="25.2" customHeight="1" x14ac:dyDescent="0.3">
      <c r="B7" s="16" t="s">
        <v>412</v>
      </c>
      <c r="C7" s="133" t="s">
        <v>564</v>
      </c>
      <c r="D7" s="11" t="s">
        <v>1157</v>
      </c>
      <c r="E7" s="11" t="s">
        <v>1808</v>
      </c>
      <c r="F7" s="11" t="s">
        <v>1158</v>
      </c>
      <c r="H7" s="11" t="s">
        <v>1414</v>
      </c>
      <c r="I7" s="54" t="s">
        <v>1908</v>
      </c>
      <c r="J7" s="11" t="s">
        <v>1415</v>
      </c>
      <c r="K7" s="54" t="s">
        <v>1908</v>
      </c>
      <c r="L7" s="11" t="s">
        <v>1159</v>
      </c>
      <c r="M7" s="11" t="s">
        <v>1807</v>
      </c>
      <c r="N7" s="11" t="s">
        <v>1160</v>
      </c>
      <c r="O7" s="54" t="s">
        <v>1807</v>
      </c>
      <c r="P7" s="11" t="s">
        <v>1161</v>
      </c>
      <c r="Q7" s="54" t="s">
        <v>1908</v>
      </c>
      <c r="R7" s="11" t="s">
        <v>1162</v>
      </c>
      <c r="S7" s="11" t="s">
        <v>1808</v>
      </c>
      <c r="T7" s="11" t="s">
        <v>1163</v>
      </c>
      <c r="U7" s="54" t="s">
        <v>1908</v>
      </c>
      <c r="V7" s="11" t="s">
        <v>1416</v>
      </c>
      <c r="W7" s="54" t="s">
        <v>1908</v>
      </c>
    </row>
    <row r="8" spans="1:23" s="11" customFormat="1" ht="25.2" customHeight="1" x14ac:dyDescent="0.3">
      <c r="B8" s="16" t="s">
        <v>1031</v>
      </c>
      <c r="C8" s="133" t="s">
        <v>564</v>
      </c>
      <c r="D8" s="11" t="s">
        <v>1164</v>
      </c>
      <c r="E8" s="54" t="s">
        <v>1807</v>
      </c>
      <c r="F8" s="11" t="s">
        <v>1165</v>
      </c>
      <c r="G8" s="54"/>
      <c r="H8" s="11" t="s">
        <v>1417</v>
      </c>
      <c r="I8" s="54" t="s">
        <v>1807</v>
      </c>
      <c r="J8" s="11" t="s">
        <v>1418</v>
      </c>
      <c r="K8" s="54" t="s">
        <v>1807</v>
      </c>
      <c r="L8" s="11" t="s">
        <v>1166</v>
      </c>
      <c r="M8" s="11" t="s">
        <v>1808</v>
      </c>
      <c r="N8" s="11" t="s">
        <v>1167</v>
      </c>
      <c r="O8" s="54" t="s">
        <v>1807</v>
      </c>
      <c r="P8" s="11" t="s">
        <v>1856</v>
      </c>
      <c r="Q8" s="54" t="s">
        <v>1908</v>
      </c>
      <c r="R8" s="11" t="s">
        <v>1168</v>
      </c>
      <c r="S8" s="11" t="s">
        <v>1808</v>
      </c>
      <c r="T8" s="11" t="s">
        <v>1169</v>
      </c>
      <c r="U8" s="54" t="s">
        <v>1908</v>
      </c>
      <c r="V8" s="11" t="s">
        <v>1857</v>
      </c>
      <c r="W8" s="54" t="s">
        <v>1807</v>
      </c>
    </row>
    <row r="9" spans="1:23" s="11" customFormat="1" ht="25.2" customHeight="1" x14ac:dyDescent="0.3">
      <c r="B9" s="16" t="s">
        <v>884</v>
      </c>
      <c r="C9" s="133" t="s">
        <v>1013</v>
      </c>
      <c r="D9" s="11" t="s">
        <v>1858</v>
      </c>
      <c r="E9" s="54" t="s">
        <v>1807</v>
      </c>
      <c r="F9" s="11" t="s">
        <v>1170</v>
      </c>
      <c r="H9" s="11" t="s">
        <v>1171</v>
      </c>
      <c r="I9" s="11" t="s">
        <v>1808</v>
      </c>
      <c r="J9" s="11" t="s">
        <v>1172</v>
      </c>
      <c r="K9" s="11" t="s">
        <v>1808</v>
      </c>
      <c r="L9" s="11" t="s">
        <v>1173</v>
      </c>
      <c r="M9" s="11" t="s">
        <v>1808</v>
      </c>
      <c r="N9" s="11" t="s">
        <v>1174</v>
      </c>
      <c r="O9" s="11" t="s">
        <v>1808</v>
      </c>
      <c r="P9" s="11" t="s">
        <v>1175</v>
      </c>
      <c r="Q9" s="11" t="s">
        <v>1808</v>
      </c>
      <c r="R9" s="11" t="s">
        <v>1176</v>
      </c>
      <c r="S9" s="11" t="s">
        <v>1808</v>
      </c>
      <c r="T9" s="11" t="s">
        <v>1177</v>
      </c>
      <c r="U9" s="11" t="s">
        <v>1808</v>
      </c>
      <c r="V9" s="11" t="s">
        <v>1178</v>
      </c>
      <c r="W9" s="11" t="s">
        <v>1808</v>
      </c>
    </row>
    <row r="10" spans="1:23" s="11" customFormat="1" ht="25.2" customHeight="1" x14ac:dyDescent="0.3">
      <c r="B10" s="19" t="s">
        <v>50</v>
      </c>
      <c r="C10" s="134" t="s">
        <v>1013</v>
      </c>
      <c r="D10" s="14" t="s">
        <v>1859</v>
      </c>
      <c r="E10" s="59" t="s">
        <v>1908</v>
      </c>
      <c r="F10" s="14" t="s">
        <v>1179</v>
      </c>
      <c r="G10" s="14"/>
      <c r="H10" s="14" t="s">
        <v>1180</v>
      </c>
      <c r="I10" s="14" t="s">
        <v>1808</v>
      </c>
      <c r="J10" s="14" t="s">
        <v>1181</v>
      </c>
      <c r="K10" s="14" t="s">
        <v>1808</v>
      </c>
      <c r="L10" s="14" t="s">
        <v>1182</v>
      </c>
      <c r="M10" s="14" t="s">
        <v>1808</v>
      </c>
      <c r="N10" s="14" t="s">
        <v>1183</v>
      </c>
      <c r="O10" s="14" t="s">
        <v>1808</v>
      </c>
      <c r="P10" s="14" t="s">
        <v>1184</v>
      </c>
      <c r="Q10" s="14" t="s">
        <v>1808</v>
      </c>
      <c r="R10" s="14" t="s">
        <v>1185</v>
      </c>
      <c r="S10" s="14" t="s">
        <v>1808</v>
      </c>
      <c r="T10" s="14" t="s">
        <v>1186</v>
      </c>
      <c r="U10" s="14" t="s">
        <v>1808</v>
      </c>
      <c r="V10" s="14" t="s">
        <v>1187</v>
      </c>
      <c r="W10" s="14" t="s">
        <v>1808</v>
      </c>
    </row>
    <row r="11" spans="1:23" ht="25.2" customHeight="1" x14ac:dyDescent="0.25">
      <c r="B11" s="100" t="s">
        <v>1911</v>
      </c>
    </row>
    <row r="14" spans="1:23" ht="25.2" customHeight="1" x14ac:dyDescent="0.25">
      <c r="H14" s="1" t="s">
        <v>1436</v>
      </c>
    </row>
    <row r="19" spans="2:3" ht="25.2" customHeight="1" x14ac:dyDescent="0.25">
      <c r="B19" s="51"/>
      <c r="C19" s="124"/>
    </row>
  </sheetData>
  <mergeCells count="1">
    <mergeCell ref="B2:V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F4F76-EA1F-4120-B763-B97749181327}">
  <dimension ref="B1:O39"/>
  <sheetViews>
    <sheetView zoomScale="85" zoomScaleNormal="85" workbookViewId="0">
      <selection activeCell="L21" sqref="L21"/>
    </sheetView>
  </sheetViews>
  <sheetFormatPr defaultColWidth="9.6640625" defaultRowHeight="13.2" x14ac:dyDescent="0.25"/>
  <cols>
    <col min="1" max="1" width="6.33203125" style="1" customWidth="1"/>
    <col min="2" max="2" width="24" style="28" customWidth="1"/>
    <col min="3" max="3" width="19.109375" style="26" customWidth="1"/>
    <col min="4" max="4" width="13" style="26" customWidth="1"/>
    <col min="5" max="5" width="17.6640625" style="26" customWidth="1"/>
    <col min="6" max="7" width="19.109375" style="10" customWidth="1"/>
    <col min="8" max="8" width="20.5546875" style="10" customWidth="1"/>
    <col min="9" max="10" width="19.109375" style="10" customWidth="1"/>
    <col min="11" max="12" width="19.109375" style="1" customWidth="1"/>
    <col min="13" max="13" width="15.5546875" style="1" customWidth="1"/>
    <col min="14" max="16384" width="9.6640625" style="1"/>
  </cols>
  <sheetData>
    <row r="1" spans="2:15" ht="13.2" customHeight="1" x14ac:dyDescent="0.25">
      <c r="C1" s="12"/>
      <c r="D1" s="12"/>
      <c r="E1" s="12"/>
      <c r="F1" s="12"/>
      <c r="G1" s="12"/>
      <c r="H1" s="12"/>
      <c r="I1" s="12"/>
      <c r="J1" s="12"/>
      <c r="K1" s="12"/>
      <c r="L1" s="12"/>
      <c r="M1" s="12"/>
      <c r="N1" s="12"/>
      <c r="O1" s="12"/>
    </row>
    <row r="2" spans="2:15" ht="57.75" customHeight="1" x14ac:dyDescent="0.25">
      <c r="B2" s="161" t="s">
        <v>1947</v>
      </c>
      <c r="C2" s="161"/>
      <c r="D2" s="161"/>
      <c r="E2" s="161"/>
      <c r="F2" s="161"/>
      <c r="G2" s="161"/>
      <c r="H2" s="161"/>
      <c r="I2" s="161"/>
      <c r="J2" s="161"/>
      <c r="K2" s="161"/>
      <c r="L2" s="99"/>
      <c r="M2" s="12"/>
      <c r="N2" s="12"/>
      <c r="O2" s="12"/>
    </row>
    <row r="3" spans="2:15" ht="18.75" customHeight="1" thickBot="1" x14ac:dyDescent="0.3">
      <c r="B3" s="92" t="s">
        <v>1784</v>
      </c>
      <c r="C3" s="90"/>
      <c r="D3" s="90"/>
      <c r="E3" s="90"/>
      <c r="F3" s="93"/>
      <c r="G3" s="90"/>
      <c r="H3" s="90"/>
      <c r="I3" s="90"/>
      <c r="J3" s="3"/>
    </row>
    <row r="4" spans="2:15" s="11" customFormat="1" ht="24.9" customHeight="1" x14ac:dyDescent="0.3">
      <c r="B4" s="122" t="s">
        <v>0</v>
      </c>
      <c r="C4" s="29" t="s">
        <v>875</v>
      </c>
      <c r="D4" s="29" t="s">
        <v>1</v>
      </c>
      <c r="E4" s="29" t="s">
        <v>876</v>
      </c>
      <c r="F4" s="31" t="s">
        <v>877</v>
      </c>
      <c r="G4" s="31" t="s">
        <v>879</v>
      </c>
      <c r="H4" s="7" t="s">
        <v>1189</v>
      </c>
      <c r="I4" s="7" t="s">
        <v>1188</v>
      </c>
      <c r="J4" s="31" t="s">
        <v>880</v>
      </c>
      <c r="K4" s="31" t="s">
        <v>601</v>
      </c>
    </row>
    <row r="5" spans="2:15" s="10" customFormat="1" ht="24.9" customHeight="1" x14ac:dyDescent="0.3">
      <c r="B5" s="10" t="s">
        <v>1946</v>
      </c>
      <c r="C5" s="32" t="s">
        <v>881</v>
      </c>
      <c r="D5" s="32">
        <v>150</v>
      </c>
      <c r="E5" s="32">
        <v>56</v>
      </c>
      <c r="F5" s="120">
        <v>8.3800000000000008</v>
      </c>
      <c r="G5" s="120">
        <v>68.400000000000006</v>
      </c>
      <c r="H5" s="54">
        <v>15.1</v>
      </c>
      <c r="I5" s="54">
        <v>515</v>
      </c>
      <c r="J5" s="54">
        <v>0.55300000000000005</v>
      </c>
      <c r="K5" s="120">
        <v>14.8</v>
      </c>
    </row>
    <row r="6" spans="2:15" s="10" customFormat="1" ht="24.9" customHeight="1" x14ac:dyDescent="0.3">
      <c r="B6" s="10" t="s">
        <v>1538</v>
      </c>
      <c r="C6" s="33" t="s">
        <v>881</v>
      </c>
      <c r="D6" s="33" t="s">
        <v>1219</v>
      </c>
      <c r="E6" s="33">
        <v>27</v>
      </c>
      <c r="F6" s="54">
        <v>15.6</v>
      </c>
      <c r="G6" s="54">
        <v>2148</v>
      </c>
      <c r="H6" s="54">
        <v>118</v>
      </c>
      <c r="I6" s="54">
        <v>3114</v>
      </c>
      <c r="J6" s="54">
        <v>2.33</v>
      </c>
      <c r="K6" s="54">
        <v>541</v>
      </c>
    </row>
    <row r="7" spans="2:15" s="10" customFormat="1" ht="24.9" customHeight="1" x14ac:dyDescent="0.3">
      <c r="B7" s="10" t="s">
        <v>1537</v>
      </c>
      <c r="C7" s="33" t="s">
        <v>882</v>
      </c>
      <c r="D7" s="33" t="s">
        <v>1220</v>
      </c>
      <c r="E7" s="33">
        <v>9</v>
      </c>
      <c r="F7" s="54">
        <v>0.41</v>
      </c>
      <c r="G7" s="54">
        <v>11.9</v>
      </c>
      <c r="H7" s="54">
        <v>6.02</v>
      </c>
      <c r="I7" s="54">
        <v>683</v>
      </c>
      <c r="J7" s="54">
        <v>0.15</v>
      </c>
      <c r="K7" s="54">
        <v>0.88</v>
      </c>
    </row>
    <row r="8" spans="2:15" s="10" customFormat="1" ht="24.9" customHeight="1" x14ac:dyDescent="0.3">
      <c r="B8" s="13" t="s">
        <v>1944</v>
      </c>
      <c r="C8" s="38" t="s">
        <v>883</v>
      </c>
      <c r="D8" s="38">
        <v>178</v>
      </c>
      <c r="E8" s="38">
        <v>23</v>
      </c>
      <c r="F8" s="59">
        <v>27.9</v>
      </c>
      <c r="G8" s="59">
        <v>13.8</v>
      </c>
      <c r="H8" s="59">
        <v>67.599999999999994</v>
      </c>
      <c r="I8" s="59" t="s">
        <v>1519</v>
      </c>
      <c r="J8" s="59" t="s">
        <v>1519</v>
      </c>
      <c r="K8" s="59" t="s">
        <v>36</v>
      </c>
    </row>
    <row r="9" spans="2:15" s="10" customFormat="1" ht="24.9" customHeight="1" x14ac:dyDescent="0.3">
      <c r="B9" s="10" t="s">
        <v>516</v>
      </c>
      <c r="C9" s="33" t="s">
        <v>883</v>
      </c>
      <c r="D9" s="33" t="s">
        <v>564</v>
      </c>
      <c r="E9" s="33">
        <v>3</v>
      </c>
      <c r="F9" s="54" t="s">
        <v>1142</v>
      </c>
      <c r="G9" s="54" t="s">
        <v>1143</v>
      </c>
      <c r="H9" s="54" t="s">
        <v>1928</v>
      </c>
      <c r="I9" s="54" t="s">
        <v>1145</v>
      </c>
      <c r="J9" s="54" t="s">
        <v>1937</v>
      </c>
      <c r="K9" s="54" t="s">
        <v>1939</v>
      </c>
    </row>
    <row r="10" spans="2:15" s="10" customFormat="1" ht="24.9" customHeight="1" x14ac:dyDescent="0.3">
      <c r="B10" s="10" t="s">
        <v>40</v>
      </c>
      <c r="C10" s="33" t="s">
        <v>883</v>
      </c>
      <c r="D10" s="33" t="s">
        <v>564</v>
      </c>
      <c r="E10" s="33">
        <v>3</v>
      </c>
      <c r="F10" s="54" t="s">
        <v>1149</v>
      </c>
      <c r="G10" s="54" t="s">
        <v>1150</v>
      </c>
      <c r="H10" s="54" t="s">
        <v>1929</v>
      </c>
      <c r="I10" s="54" t="s">
        <v>1933</v>
      </c>
      <c r="J10" s="54" t="s">
        <v>1938</v>
      </c>
      <c r="K10" s="54" t="s">
        <v>1940</v>
      </c>
    </row>
    <row r="11" spans="2:15" s="10" customFormat="1" ht="24.9" customHeight="1" x14ac:dyDescent="0.3">
      <c r="B11" s="10" t="s">
        <v>495</v>
      </c>
      <c r="C11" s="33" t="s">
        <v>883</v>
      </c>
      <c r="D11" s="33" t="s">
        <v>564</v>
      </c>
      <c r="E11" s="33">
        <v>3</v>
      </c>
      <c r="F11" s="54" t="s">
        <v>1153</v>
      </c>
      <c r="G11" s="54" t="s">
        <v>1154</v>
      </c>
      <c r="H11" s="54" t="s">
        <v>1930</v>
      </c>
      <c r="I11" s="54" t="s">
        <v>1934</v>
      </c>
      <c r="J11" s="54" t="s">
        <v>1156</v>
      </c>
      <c r="K11" s="54" t="s">
        <v>1941</v>
      </c>
    </row>
    <row r="12" spans="2:15" s="10" customFormat="1" ht="24.9" customHeight="1" x14ac:dyDescent="0.3">
      <c r="B12" s="10" t="s">
        <v>412</v>
      </c>
      <c r="C12" s="33" t="s">
        <v>883</v>
      </c>
      <c r="D12" s="33" t="s">
        <v>564</v>
      </c>
      <c r="E12" s="33">
        <v>3</v>
      </c>
      <c r="F12" s="54" t="s">
        <v>1157</v>
      </c>
      <c r="G12" s="54" t="s">
        <v>1158</v>
      </c>
      <c r="H12" s="54" t="s">
        <v>1931</v>
      </c>
      <c r="I12" s="54" t="s">
        <v>1935</v>
      </c>
      <c r="J12" s="54" t="s">
        <v>1162</v>
      </c>
      <c r="K12" s="54" t="s">
        <v>1942</v>
      </c>
    </row>
    <row r="13" spans="2:15" s="10" customFormat="1" ht="24.9" customHeight="1" x14ac:dyDescent="0.3">
      <c r="B13" s="10" t="s">
        <v>414</v>
      </c>
      <c r="C13" s="33" t="s">
        <v>883</v>
      </c>
      <c r="D13" s="33" t="s">
        <v>564</v>
      </c>
      <c r="E13" s="33">
        <v>3</v>
      </c>
      <c r="F13" s="54" t="s">
        <v>1925</v>
      </c>
      <c r="G13" s="54" t="s">
        <v>1165</v>
      </c>
      <c r="H13" s="54" t="s">
        <v>1932</v>
      </c>
      <c r="I13" s="54" t="s">
        <v>1936</v>
      </c>
      <c r="J13" s="54" t="s">
        <v>1168</v>
      </c>
      <c r="K13" s="54" t="s">
        <v>1943</v>
      </c>
    </row>
    <row r="14" spans="2:15" s="10" customFormat="1" ht="24.9" customHeight="1" x14ac:dyDescent="0.3">
      <c r="B14" s="10" t="s">
        <v>884</v>
      </c>
      <c r="C14" s="33" t="s">
        <v>883</v>
      </c>
      <c r="D14" s="33" t="s">
        <v>1013</v>
      </c>
      <c r="E14" s="33">
        <v>3</v>
      </c>
      <c r="F14" s="54" t="s">
        <v>1926</v>
      </c>
      <c r="G14" s="54" t="s">
        <v>1170</v>
      </c>
      <c r="H14" s="54" t="s">
        <v>1171</v>
      </c>
      <c r="I14" s="54" t="s">
        <v>1172</v>
      </c>
      <c r="J14" s="54" t="s">
        <v>1176</v>
      </c>
      <c r="K14" s="54" t="s">
        <v>1178</v>
      </c>
    </row>
    <row r="15" spans="2:15" s="10" customFormat="1" ht="24.9" customHeight="1" x14ac:dyDescent="0.3">
      <c r="B15" s="13" t="s">
        <v>50</v>
      </c>
      <c r="C15" s="38" t="s">
        <v>883</v>
      </c>
      <c r="D15" s="38" t="s">
        <v>1013</v>
      </c>
      <c r="E15" s="38">
        <v>3</v>
      </c>
      <c r="F15" s="59" t="s">
        <v>1927</v>
      </c>
      <c r="G15" s="59" t="s">
        <v>1179</v>
      </c>
      <c r="H15" s="59" t="s">
        <v>1180</v>
      </c>
      <c r="I15" s="59" t="s">
        <v>1181</v>
      </c>
      <c r="J15" s="59" t="s">
        <v>1185</v>
      </c>
      <c r="K15" s="59" t="s">
        <v>1187</v>
      </c>
      <c r="N15" s="62"/>
    </row>
    <row r="16" spans="2:15" s="10" customFormat="1" x14ac:dyDescent="0.3">
      <c r="B16" s="86" t="s">
        <v>1523</v>
      </c>
      <c r="E16" s="11"/>
      <c r="F16" s="54"/>
      <c r="G16" s="54"/>
      <c r="H16" s="54"/>
      <c r="I16" s="54"/>
      <c r="J16" s="54"/>
    </row>
    <row r="17" spans="2:11" s="10" customFormat="1" ht="15.6" x14ac:dyDescent="0.3">
      <c r="B17" s="10" t="s">
        <v>1924</v>
      </c>
      <c r="E17" s="11"/>
      <c r="F17" s="54"/>
      <c r="G17" s="54"/>
      <c r="H17" s="54"/>
      <c r="I17" s="54"/>
      <c r="J17" s="54"/>
    </row>
    <row r="18" spans="2:11" s="10" customFormat="1" ht="15.6" x14ac:dyDescent="0.3">
      <c r="B18" s="10" t="s">
        <v>1923</v>
      </c>
      <c r="E18" s="11"/>
      <c r="F18" s="54"/>
      <c r="G18" s="54"/>
      <c r="H18" s="54"/>
      <c r="I18" s="54"/>
      <c r="J18" s="54"/>
    </row>
    <row r="19" spans="2:11" s="10" customFormat="1" ht="30" customHeight="1" x14ac:dyDescent="0.3">
      <c r="B19" s="161" t="s">
        <v>1945</v>
      </c>
      <c r="C19" s="161"/>
      <c r="D19" s="161"/>
      <c r="E19" s="161"/>
      <c r="F19" s="161"/>
      <c r="G19" s="161"/>
      <c r="H19" s="161"/>
      <c r="I19" s="161"/>
      <c r="J19" s="161"/>
      <c r="K19" s="161"/>
    </row>
    <row r="20" spans="2:11" s="10" customFormat="1" ht="30" customHeight="1" x14ac:dyDescent="0.3">
      <c r="B20" s="161" t="s">
        <v>1949</v>
      </c>
      <c r="C20" s="161"/>
      <c r="D20" s="161"/>
      <c r="E20" s="161"/>
      <c r="F20" s="161"/>
      <c r="G20" s="161"/>
      <c r="H20" s="161"/>
      <c r="I20" s="161"/>
      <c r="J20" s="161"/>
      <c r="K20" s="161"/>
    </row>
    <row r="21" spans="2:11" s="10" customFormat="1" ht="30" customHeight="1" x14ac:dyDescent="0.3">
      <c r="B21" s="161" t="s">
        <v>1948</v>
      </c>
      <c r="C21" s="161"/>
      <c r="D21" s="161"/>
      <c r="E21" s="161"/>
      <c r="F21" s="161"/>
      <c r="G21" s="161"/>
      <c r="H21" s="161"/>
      <c r="I21" s="161"/>
      <c r="J21" s="161"/>
      <c r="K21" s="161"/>
    </row>
    <row r="22" spans="2:11" s="10" customFormat="1" x14ac:dyDescent="0.3">
      <c r="B22" s="73"/>
      <c r="C22" s="73"/>
      <c r="D22" s="73"/>
      <c r="E22" s="73"/>
      <c r="F22" s="73"/>
      <c r="G22" s="73"/>
      <c r="H22" s="73"/>
      <c r="I22" s="73"/>
      <c r="J22" s="73"/>
      <c r="K22" s="73"/>
    </row>
    <row r="23" spans="2:11" ht="15" customHeight="1" thickBot="1" x14ac:dyDescent="0.3">
      <c r="B23" s="121" t="s">
        <v>1785</v>
      </c>
      <c r="E23" s="11"/>
      <c r="F23" s="11"/>
      <c r="G23" s="11"/>
      <c r="H23" s="11"/>
      <c r="I23" s="11"/>
      <c r="J23" s="11"/>
      <c r="K23" s="11"/>
    </row>
    <row r="24" spans="2:11" ht="24.9" customHeight="1" x14ac:dyDescent="0.25">
      <c r="B24" s="122" t="s">
        <v>0</v>
      </c>
      <c r="C24" s="29" t="s">
        <v>1194</v>
      </c>
      <c r="D24" s="31" t="s">
        <v>877</v>
      </c>
      <c r="E24" s="31" t="s">
        <v>879</v>
      </c>
      <c r="F24" s="7" t="s">
        <v>1189</v>
      </c>
      <c r="G24" s="7" t="s">
        <v>1188</v>
      </c>
      <c r="H24" s="31" t="s">
        <v>880</v>
      </c>
      <c r="I24" s="31" t="s">
        <v>601</v>
      </c>
      <c r="J24" s="1"/>
    </row>
    <row r="25" spans="2:11" ht="24.9" customHeight="1" x14ac:dyDescent="0.25">
      <c r="B25" s="36" t="s">
        <v>1191</v>
      </c>
      <c r="C25" s="48" t="s">
        <v>1190</v>
      </c>
      <c r="D25" s="45">
        <v>1.2415095904844189</v>
      </c>
      <c r="E25" s="45">
        <v>0.99520108108104099</v>
      </c>
      <c r="F25" s="45">
        <v>0.10482879004852896</v>
      </c>
      <c r="G25" s="45">
        <v>-0.33137659251966856</v>
      </c>
      <c r="H25" s="45">
        <v>1.5388565134688095</v>
      </c>
      <c r="I25" s="45">
        <v>-0.29655892023790964</v>
      </c>
      <c r="J25" s="1"/>
    </row>
    <row r="26" spans="2:11" ht="24.9" customHeight="1" x14ac:dyDescent="0.25">
      <c r="B26" s="36" t="s">
        <v>1192</v>
      </c>
      <c r="C26" s="48" t="s">
        <v>1190</v>
      </c>
      <c r="D26" s="45">
        <v>0.88377849533015806</v>
      </c>
      <c r="E26" s="45">
        <v>0.21499845536353024</v>
      </c>
      <c r="F26" s="45">
        <v>0.39975202674655019</v>
      </c>
      <c r="G26" s="45">
        <v>-0.77362105425955896</v>
      </c>
      <c r="H26" s="45">
        <v>2.8321936612921377</v>
      </c>
      <c r="I26" s="45">
        <v>-5.6243743262128554E-2</v>
      </c>
      <c r="J26" s="1"/>
    </row>
    <row r="27" spans="2:11" ht="24.9" customHeight="1" x14ac:dyDescent="0.25">
      <c r="B27" s="39" t="s">
        <v>1193</v>
      </c>
      <c r="C27" s="127" t="s">
        <v>1190</v>
      </c>
      <c r="D27" s="125">
        <v>0.3022111186926556</v>
      </c>
      <c r="E27" s="125">
        <v>1.4126274251534172</v>
      </c>
      <c r="F27" s="125">
        <v>2.8175126575356968</v>
      </c>
      <c r="G27" s="125">
        <v>1.8753768464779488</v>
      </c>
      <c r="H27" s="125">
        <v>2.5674458905972717</v>
      </c>
      <c r="I27" s="125">
        <v>3.0852574373137021</v>
      </c>
      <c r="J27" s="1"/>
    </row>
    <row r="28" spans="2:11" ht="24.9" customHeight="1" x14ac:dyDescent="0.25">
      <c r="B28" s="36" t="s">
        <v>1191</v>
      </c>
      <c r="C28" s="48" t="s">
        <v>1195</v>
      </c>
      <c r="D28" s="45">
        <v>0.97162901076023367</v>
      </c>
      <c r="E28" s="45">
        <v>-0.50177709422636063</v>
      </c>
      <c r="F28" s="45">
        <v>-0.78807626996442703</v>
      </c>
      <c r="G28" s="45">
        <v>-1.1128879717105788</v>
      </c>
      <c r="H28" s="45">
        <v>0.91422572374748878</v>
      </c>
      <c r="I28" s="45">
        <v>-1.8594944699495213</v>
      </c>
      <c r="J28" s="1"/>
    </row>
    <row r="29" spans="2:11" ht="24.9" customHeight="1" x14ac:dyDescent="0.25">
      <c r="B29" s="36" t="s">
        <v>1192</v>
      </c>
      <c r="C29" s="48" t="s">
        <v>1195</v>
      </c>
      <c r="D29" s="45">
        <v>0.61389791560597295</v>
      </c>
      <c r="E29" s="45">
        <v>-1.2819797199438714</v>
      </c>
      <c r="F29" s="45">
        <v>-0.4931530332664058</v>
      </c>
      <c r="G29" s="45">
        <v>-1.5551324334504693</v>
      </c>
      <c r="H29" s="45">
        <v>2.2075628715708171</v>
      </c>
      <c r="I29" s="45">
        <v>-1.6191792929737403</v>
      </c>
      <c r="J29" s="1"/>
    </row>
    <row r="30" spans="2:11" ht="24.9" customHeight="1" x14ac:dyDescent="0.25">
      <c r="B30" s="39" t="s">
        <v>1193</v>
      </c>
      <c r="C30" s="127" t="s">
        <v>1195</v>
      </c>
      <c r="D30" s="125">
        <v>3.233053896847049E-2</v>
      </c>
      <c r="E30" s="125">
        <v>-8.4350750153984411E-2</v>
      </c>
      <c r="F30" s="125">
        <v>1.9246075975227406</v>
      </c>
      <c r="G30" s="125">
        <v>1.0938654672870385</v>
      </c>
      <c r="H30" s="125">
        <v>1.9428151008759511</v>
      </c>
      <c r="I30" s="125">
        <v>1.5223218876020903</v>
      </c>
      <c r="J30" s="1"/>
    </row>
    <row r="31" spans="2:11" ht="24.9" customHeight="1" x14ac:dyDescent="0.25">
      <c r="B31" s="34" t="s">
        <v>1191</v>
      </c>
      <c r="C31" s="128" t="s">
        <v>1196</v>
      </c>
      <c r="D31" s="45">
        <v>2.5519697523949598</v>
      </c>
      <c r="E31" s="126">
        <v>1.7547102214086265</v>
      </c>
      <c r="F31" s="126">
        <v>0.50420924608387396</v>
      </c>
      <c r="G31" s="126">
        <v>-0.45399006716001011</v>
      </c>
      <c r="H31" s="126">
        <v>2.1054903857178267</v>
      </c>
      <c r="I31" s="126">
        <v>0.92922012300687917</v>
      </c>
      <c r="J31" s="1"/>
    </row>
    <row r="32" spans="2:11" ht="24.9" customHeight="1" x14ac:dyDescent="0.25">
      <c r="B32" s="36" t="s">
        <v>1192</v>
      </c>
      <c r="C32" s="48" t="s">
        <v>1196</v>
      </c>
      <c r="D32" s="45">
        <v>2.1942386572406991</v>
      </c>
      <c r="E32" s="45">
        <v>0.97450759569111578</v>
      </c>
      <c r="F32" s="45">
        <v>0.79913248278189519</v>
      </c>
      <c r="G32" s="45">
        <v>-0.89623452889990052</v>
      </c>
      <c r="H32" s="45">
        <v>3.3988275335411546</v>
      </c>
      <c r="I32" s="45">
        <v>1.1695352999826603</v>
      </c>
      <c r="J32" s="1"/>
    </row>
    <row r="33" spans="2:10" ht="24.9" customHeight="1" x14ac:dyDescent="0.25">
      <c r="B33" s="39" t="s">
        <v>1193</v>
      </c>
      <c r="C33" s="127" t="s">
        <v>1196</v>
      </c>
      <c r="D33" s="125">
        <v>1.6126712806031966</v>
      </c>
      <c r="E33" s="125">
        <v>2.1721365654810025</v>
      </c>
      <c r="F33" s="125">
        <v>3.2168931135710417</v>
      </c>
      <c r="G33" s="125">
        <v>1.7527633718376072</v>
      </c>
      <c r="H33" s="125">
        <v>3.1340797628462886</v>
      </c>
      <c r="I33" s="125">
        <v>4.3110364805584913</v>
      </c>
      <c r="J33" s="1"/>
    </row>
    <row r="34" spans="2:10" ht="24.9" customHeight="1" x14ac:dyDescent="0.25">
      <c r="B34" s="34" t="s">
        <v>1191</v>
      </c>
      <c r="C34" s="143" t="s">
        <v>1524</v>
      </c>
      <c r="D34" s="45">
        <v>0.71914940584109766</v>
      </c>
      <c r="E34" s="45">
        <v>1.6903780963999209</v>
      </c>
      <c r="F34" s="45">
        <v>-0.5461409585999375</v>
      </c>
      <c r="G34" s="126"/>
      <c r="H34" s="126"/>
      <c r="I34" s="126"/>
    </row>
    <row r="35" spans="2:10" ht="24.9" customHeight="1" x14ac:dyDescent="0.25">
      <c r="B35" s="36" t="s">
        <v>1192</v>
      </c>
      <c r="C35" s="143" t="s">
        <v>1524</v>
      </c>
      <c r="D35" s="45">
        <v>0.36141831068683694</v>
      </c>
      <c r="E35" s="45">
        <v>0.91017547068241011</v>
      </c>
      <c r="F35" s="45">
        <v>-0.25121772190191627</v>
      </c>
      <c r="G35" s="45"/>
      <c r="H35" s="45"/>
      <c r="I35" s="45"/>
    </row>
    <row r="36" spans="2:10" ht="24.9" customHeight="1" x14ac:dyDescent="0.25">
      <c r="B36" s="39" t="s">
        <v>1193</v>
      </c>
      <c r="C36" s="144" t="s">
        <v>1524</v>
      </c>
      <c r="D36" s="125">
        <v>-0.22014906595066552</v>
      </c>
      <c r="E36" s="125">
        <v>2.1078044404722971</v>
      </c>
      <c r="F36" s="125">
        <v>2.1665429088872301</v>
      </c>
      <c r="G36" s="125"/>
      <c r="H36" s="125"/>
      <c r="I36" s="125"/>
    </row>
    <row r="37" spans="2:10" ht="24.9" customHeight="1" x14ac:dyDescent="0.25">
      <c r="D37" s="145"/>
      <c r="E37" s="145"/>
      <c r="F37" s="145"/>
    </row>
    <row r="38" spans="2:10" ht="24.9" customHeight="1" x14ac:dyDescent="0.25"/>
    <row r="39" spans="2:10" ht="24.9" customHeight="1" x14ac:dyDescent="0.25"/>
  </sheetData>
  <mergeCells count="4">
    <mergeCell ref="B2:K2"/>
    <mergeCell ref="B19:K19"/>
    <mergeCell ref="B20:K20"/>
    <mergeCell ref="B21:K21"/>
  </mergeCells>
  <phoneticPr fontId="1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5768D-2446-49E7-B8C1-F77FEA7FA474}">
  <sheetPr codeName="Sheet12"/>
  <dimension ref="A1:W190"/>
  <sheetViews>
    <sheetView zoomScale="70" zoomScaleNormal="70" workbookViewId="0">
      <pane ySplit="3" topLeftCell="A4" activePane="bottomLeft" state="frozen"/>
      <selection activeCell="H9" sqref="H9"/>
      <selection pane="bottomLeft" activeCell="B3" sqref="B3"/>
    </sheetView>
  </sheetViews>
  <sheetFormatPr defaultColWidth="8.88671875" defaultRowHeight="13.2" x14ac:dyDescent="0.25"/>
  <cols>
    <col min="1" max="1" width="6.33203125" style="1" customWidth="1"/>
    <col min="2" max="2" width="43" style="1" customWidth="1"/>
    <col min="3" max="3" width="8.88671875" style="1"/>
    <col min="4" max="4" width="16.6640625" style="1" customWidth="1"/>
    <col min="5" max="5" width="16.6640625" style="10" customWidth="1"/>
    <col min="6" max="6" width="16.6640625" style="1" customWidth="1"/>
    <col min="7" max="7" width="16.6640625" style="10" customWidth="1"/>
    <col min="8" max="8" width="16.6640625" style="1" customWidth="1"/>
    <col min="9" max="9" width="16.6640625" style="10" customWidth="1"/>
    <col min="10" max="10" width="16.6640625" style="1" customWidth="1"/>
    <col min="11" max="11" width="16.6640625" style="10" customWidth="1"/>
    <col min="12" max="12" width="16.6640625" style="1" customWidth="1"/>
    <col min="13" max="13" width="16.6640625" style="10" customWidth="1"/>
    <col min="14" max="14" width="16.6640625" style="1" customWidth="1"/>
    <col min="15" max="15" width="16.6640625" style="10" customWidth="1"/>
    <col min="16" max="16" width="16.6640625" style="1" customWidth="1"/>
    <col min="17" max="17" width="16.6640625" style="10" customWidth="1"/>
    <col min="18" max="18" width="16.6640625" style="1" customWidth="1"/>
    <col min="19" max="19" width="16.6640625" style="10" customWidth="1"/>
    <col min="20" max="20" width="16.6640625" style="1" customWidth="1"/>
    <col min="21" max="21" width="16.6640625" style="10" customWidth="1"/>
    <col min="22" max="22" width="16.6640625" style="1" customWidth="1"/>
    <col min="23" max="23" width="16.44140625" style="10" customWidth="1"/>
    <col min="24" max="16384" width="8.88671875" style="1"/>
  </cols>
  <sheetData>
    <row r="1" spans="1:23" ht="13.2" customHeight="1" x14ac:dyDescent="0.25"/>
    <row r="2" spans="1:23" ht="34.5" customHeight="1" thickBot="1" x14ac:dyDescent="0.3">
      <c r="B2" s="159" t="s">
        <v>1913</v>
      </c>
      <c r="C2" s="159"/>
      <c r="D2" s="159"/>
      <c r="E2" s="159"/>
      <c r="F2" s="159"/>
      <c r="G2" s="159"/>
      <c r="H2" s="159"/>
      <c r="I2" s="159"/>
      <c r="J2" s="159"/>
      <c r="K2" s="159"/>
      <c r="L2" s="159"/>
      <c r="M2" s="159"/>
      <c r="N2" s="159"/>
      <c r="O2" s="159"/>
      <c r="P2" s="159"/>
      <c r="Q2" s="159"/>
      <c r="R2" s="159"/>
      <c r="S2" s="159"/>
      <c r="T2" s="159"/>
      <c r="U2" s="159"/>
      <c r="V2" s="159"/>
      <c r="W2" s="3"/>
    </row>
    <row r="3" spans="1:23" s="10" customFormat="1" ht="25.2" customHeight="1" x14ac:dyDescent="0.3">
      <c r="A3" s="11"/>
      <c r="B3" s="50" t="s">
        <v>0</v>
      </c>
      <c r="C3" s="21" t="s">
        <v>1</v>
      </c>
      <c r="D3" s="21" t="s">
        <v>556</v>
      </c>
      <c r="E3" s="21" t="s">
        <v>1806</v>
      </c>
      <c r="F3" s="21" t="s">
        <v>498</v>
      </c>
      <c r="G3" s="21" t="s">
        <v>1809</v>
      </c>
      <c r="H3" s="21" t="s">
        <v>502</v>
      </c>
      <c r="I3" s="21" t="s">
        <v>1810</v>
      </c>
      <c r="J3" s="21" t="s">
        <v>559</v>
      </c>
      <c r="K3" s="21" t="s">
        <v>1811</v>
      </c>
      <c r="L3" s="21" t="s">
        <v>503</v>
      </c>
      <c r="M3" s="21" t="s">
        <v>1812</v>
      </c>
      <c r="N3" s="21" t="s">
        <v>504</v>
      </c>
      <c r="O3" s="21" t="s">
        <v>1813</v>
      </c>
      <c r="P3" s="21" t="s">
        <v>505</v>
      </c>
      <c r="Q3" s="21" t="s">
        <v>1815</v>
      </c>
      <c r="R3" s="21" t="s">
        <v>499</v>
      </c>
      <c r="S3" s="21" t="s">
        <v>1816</v>
      </c>
      <c r="T3" s="21" t="s">
        <v>561</v>
      </c>
      <c r="U3" s="21" t="s">
        <v>1817</v>
      </c>
      <c r="V3" s="21" t="s">
        <v>7</v>
      </c>
      <c r="W3" s="21" t="s">
        <v>1818</v>
      </c>
    </row>
    <row r="4" spans="1:23" ht="25.2" customHeight="1" x14ac:dyDescent="0.25">
      <c r="B4" s="16" t="s">
        <v>1014</v>
      </c>
      <c r="C4" s="17">
        <v>100</v>
      </c>
      <c r="D4" s="62">
        <v>2.6173070032074655E-2</v>
      </c>
      <c r="E4" s="62" t="s">
        <v>1908</v>
      </c>
      <c r="F4" s="62">
        <v>0.2394766340484441</v>
      </c>
      <c r="G4" s="62" t="s">
        <v>1807</v>
      </c>
      <c r="H4" s="62">
        <v>6.758565272917523E-2</v>
      </c>
      <c r="I4" s="62" t="s">
        <v>1908</v>
      </c>
      <c r="J4" s="62">
        <v>0.27552055592202029</v>
      </c>
      <c r="K4" s="62" t="s">
        <v>1908</v>
      </c>
      <c r="L4" s="62">
        <v>1.4084926124637661E-2</v>
      </c>
      <c r="M4" s="62" t="s">
        <v>1808</v>
      </c>
      <c r="N4" s="62" t="s">
        <v>1907</v>
      </c>
      <c r="O4" s="62" t="s">
        <v>1808</v>
      </c>
      <c r="P4" s="62">
        <v>2.6532528195815881E-2</v>
      </c>
      <c r="Q4" s="62" t="s">
        <v>1908</v>
      </c>
      <c r="R4" s="62">
        <v>2.0670752452074215E-3</v>
      </c>
      <c r="S4" s="62" t="s">
        <v>1908</v>
      </c>
      <c r="T4" s="54" t="s">
        <v>1907</v>
      </c>
      <c r="U4" s="62" t="s">
        <v>1808</v>
      </c>
      <c r="V4" s="54">
        <v>4.3247700545108757E-2</v>
      </c>
      <c r="W4" s="10" t="s">
        <v>1908</v>
      </c>
    </row>
    <row r="5" spans="1:23" ht="25.2" customHeight="1" x14ac:dyDescent="0.25">
      <c r="B5" s="16" t="s">
        <v>1014</v>
      </c>
      <c r="C5" s="18">
        <v>200</v>
      </c>
      <c r="D5" s="62">
        <v>0.16885848175918131</v>
      </c>
      <c r="E5" s="62" t="s">
        <v>1807</v>
      </c>
      <c r="F5" s="62">
        <v>0.93998047392786532</v>
      </c>
      <c r="G5" s="62" t="s">
        <v>1808</v>
      </c>
      <c r="H5" s="62">
        <v>5.611058566367462E-2</v>
      </c>
      <c r="I5" s="62" t="s">
        <v>1908</v>
      </c>
      <c r="J5" s="62">
        <v>0.86302164886943034</v>
      </c>
      <c r="K5" s="62" t="s">
        <v>1807</v>
      </c>
      <c r="L5" s="62">
        <v>1.756186641822691E-2</v>
      </c>
      <c r="M5" s="62" t="s">
        <v>1808</v>
      </c>
      <c r="N5" s="62" t="s">
        <v>1907</v>
      </c>
      <c r="O5" s="62" t="s">
        <v>1808</v>
      </c>
      <c r="P5" s="62">
        <v>1.0826299860316659E-2</v>
      </c>
      <c r="Q5" s="62" t="s">
        <v>1908</v>
      </c>
      <c r="R5" s="62">
        <v>4.4258934624898877E-3</v>
      </c>
      <c r="S5" s="62" t="s">
        <v>1908</v>
      </c>
      <c r="T5" s="54" t="s">
        <v>1907</v>
      </c>
      <c r="U5" s="62" t="s">
        <v>1808</v>
      </c>
      <c r="V5" s="54">
        <v>1.8554532854171205E-2</v>
      </c>
      <c r="W5" s="10" t="s">
        <v>1908</v>
      </c>
    </row>
    <row r="6" spans="1:23" ht="25.2" customHeight="1" x14ac:dyDescent="0.25">
      <c r="B6" s="16" t="s">
        <v>1014</v>
      </c>
      <c r="C6" s="18">
        <v>300</v>
      </c>
      <c r="D6" s="62">
        <v>1.2908864714447776</v>
      </c>
      <c r="E6" s="62" t="s">
        <v>1808</v>
      </c>
      <c r="F6" s="62">
        <v>5.4948299228779423</v>
      </c>
      <c r="G6" s="62" t="s">
        <v>1808</v>
      </c>
      <c r="H6" s="62">
        <v>3.5174965977458846E-2</v>
      </c>
      <c r="I6" s="62" t="s">
        <v>1908</v>
      </c>
      <c r="J6" s="62">
        <v>1.7651931596797903</v>
      </c>
      <c r="K6" s="62" t="s">
        <v>1807</v>
      </c>
      <c r="L6" s="62">
        <v>1.5930101743874131E-2</v>
      </c>
      <c r="M6" s="62" t="s">
        <v>1808</v>
      </c>
      <c r="N6" s="62" t="s">
        <v>1907</v>
      </c>
      <c r="O6" s="62" t="s">
        <v>1808</v>
      </c>
      <c r="P6" s="62">
        <v>1.6185746824882476E-2</v>
      </c>
      <c r="Q6" s="62" t="s">
        <v>1908</v>
      </c>
      <c r="R6" s="62">
        <v>4.1380146446111021E-3</v>
      </c>
      <c r="S6" s="62" t="s">
        <v>1908</v>
      </c>
      <c r="T6" s="54" t="s">
        <v>1907</v>
      </c>
      <c r="U6" s="62" t="s">
        <v>1808</v>
      </c>
      <c r="V6" s="54">
        <v>2.3899221145978585E-2</v>
      </c>
      <c r="W6" s="10" t="s">
        <v>1908</v>
      </c>
    </row>
    <row r="7" spans="1:23" ht="25.2" customHeight="1" x14ac:dyDescent="0.25">
      <c r="B7" s="16" t="s">
        <v>1014</v>
      </c>
      <c r="C7" s="17">
        <v>400</v>
      </c>
      <c r="D7" s="62">
        <v>2.147911896787797</v>
      </c>
      <c r="E7" s="62" t="s">
        <v>1808</v>
      </c>
      <c r="F7" s="62">
        <v>9.2081973034925415</v>
      </c>
      <c r="G7" s="62" t="s">
        <v>1808</v>
      </c>
      <c r="H7" s="62">
        <v>2.2500617907284168E-2</v>
      </c>
      <c r="I7" s="62" t="s">
        <v>1908</v>
      </c>
      <c r="J7" s="62">
        <v>2.1433329663139657</v>
      </c>
      <c r="K7" s="62" t="s">
        <v>1807</v>
      </c>
      <c r="L7" s="62">
        <v>1.9027080673076287E-2</v>
      </c>
      <c r="M7" s="62" t="s">
        <v>1808</v>
      </c>
      <c r="N7" s="62" t="s">
        <v>1907</v>
      </c>
      <c r="O7" s="62" t="s">
        <v>1808</v>
      </c>
      <c r="P7" s="62">
        <v>1.2354544615355328E-2</v>
      </c>
      <c r="Q7" s="62" t="s">
        <v>1908</v>
      </c>
      <c r="R7" s="62">
        <v>2.9753515034021917E-3</v>
      </c>
      <c r="S7" s="62" t="s">
        <v>1908</v>
      </c>
      <c r="T7" s="54" t="s">
        <v>1907</v>
      </c>
      <c r="U7" s="62" t="s">
        <v>1808</v>
      </c>
      <c r="V7" s="54">
        <v>2.3148951199068596E-2</v>
      </c>
      <c r="W7" s="10" t="s">
        <v>1908</v>
      </c>
    </row>
    <row r="8" spans="1:23" ht="25.2" customHeight="1" x14ac:dyDescent="0.25">
      <c r="B8" s="16" t="s">
        <v>1014</v>
      </c>
      <c r="C8" s="18">
        <v>500</v>
      </c>
      <c r="D8" s="62">
        <v>2.5497783625656276</v>
      </c>
      <c r="E8" s="62" t="s">
        <v>1808</v>
      </c>
      <c r="F8" s="54">
        <v>11.644841701790563</v>
      </c>
      <c r="G8" s="62" t="s">
        <v>1808</v>
      </c>
      <c r="H8" s="62">
        <v>6.2199968719042965E-2</v>
      </c>
      <c r="I8" s="62" t="s">
        <v>1908</v>
      </c>
      <c r="J8" s="62">
        <v>3.7877021252131349</v>
      </c>
      <c r="K8" s="62" t="s">
        <v>1808</v>
      </c>
      <c r="L8" s="62">
        <v>2.6859782181638849E-2</v>
      </c>
      <c r="M8" s="62" t="s">
        <v>1808</v>
      </c>
      <c r="N8" s="62">
        <v>1.1205237605697219E-4</v>
      </c>
      <c r="O8" s="62" t="s">
        <v>1908</v>
      </c>
      <c r="P8" s="62">
        <v>1.6968164182648498E-2</v>
      </c>
      <c r="Q8" s="62" t="s">
        <v>1908</v>
      </c>
      <c r="R8" s="62">
        <v>4.5658783471015591E-3</v>
      </c>
      <c r="S8" s="62" t="s">
        <v>1908</v>
      </c>
      <c r="T8" s="54">
        <v>8.040446194171906E-5</v>
      </c>
      <c r="U8" s="62" t="s">
        <v>1908</v>
      </c>
      <c r="V8" s="54">
        <v>3.1765105261237069E-2</v>
      </c>
      <c r="W8" s="10" t="s">
        <v>1908</v>
      </c>
    </row>
    <row r="9" spans="1:23" ht="25.2" customHeight="1" x14ac:dyDescent="0.25">
      <c r="B9" s="16" t="s">
        <v>1014</v>
      </c>
      <c r="C9" s="17">
        <v>600</v>
      </c>
      <c r="D9" s="62">
        <v>0.43229815398705207</v>
      </c>
      <c r="E9" s="62" t="s">
        <v>1807</v>
      </c>
      <c r="F9" s="62">
        <v>1.4354165758246562</v>
      </c>
      <c r="G9" s="62" t="s">
        <v>1808</v>
      </c>
      <c r="H9" s="62">
        <v>1.5497514485776742E-2</v>
      </c>
      <c r="I9" s="62" t="s">
        <v>1908</v>
      </c>
      <c r="J9" s="62">
        <v>1.7856772946373347</v>
      </c>
      <c r="K9" s="62" t="s">
        <v>1807</v>
      </c>
      <c r="L9" s="62">
        <v>1.6013322768559806E-2</v>
      </c>
      <c r="M9" s="62" t="s">
        <v>1808</v>
      </c>
      <c r="N9" s="62">
        <v>1.5648355356969623E-4</v>
      </c>
      <c r="O9" s="62" t="s">
        <v>1908</v>
      </c>
      <c r="P9" s="62">
        <v>0.46501363656710798</v>
      </c>
      <c r="Q9" s="62" t="s">
        <v>1807</v>
      </c>
      <c r="R9" s="62">
        <v>3.6708489251137274E-3</v>
      </c>
      <c r="S9" s="62" t="s">
        <v>1908</v>
      </c>
      <c r="T9" s="54">
        <v>6.5623007869982405E-4</v>
      </c>
      <c r="U9" s="62" t="s">
        <v>1908</v>
      </c>
      <c r="V9" s="54">
        <v>9.391533208832353E-3</v>
      </c>
      <c r="W9" s="10" t="s">
        <v>1908</v>
      </c>
    </row>
    <row r="10" spans="1:23" ht="25.2" customHeight="1" x14ac:dyDescent="0.25">
      <c r="B10" s="16" t="s">
        <v>1014</v>
      </c>
      <c r="C10" s="18">
        <v>700</v>
      </c>
      <c r="D10" s="62">
        <v>1.2754195658375556</v>
      </c>
      <c r="E10" s="62" t="s">
        <v>1808</v>
      </c>
      <c r="F10" s="62">
        <v>5.8450064984491501</v>
      </c>
      <c r="G10" s="62" t="s">
        <v>1808</v>
      </c>
      <c r="H10" s="62">
        <v>1.681099398849879E-2</v>
      </c>
      <c r="I10" s="62" t="s">
        <v>1908</v>
      </c>
      <c r="J10" s="62">
        <v>3.6537557851462705</v>
      </c>
      <c r="K10" s="62" t="s">
        <v>1808</v>
      </c>
      <c r="L10" s="62">
        <v>2.3486413342220732E-2</v>
      </c>
      <c r="M10" s="62" t="s">
        <v>1808</v>
      </c>
      <c r="N10" s="62">
        <v>3.42070409176261E-4</v>
      </c>
      <c r="O10" s="62" t="s">
        <v>1908</v>
      </c>
      <c r="P10" s="62">
        <v>9.5337792421660086E-2</v>
      </c>
      <c r="Q10" s="62" t="s">
        <v>1908</v>
      </c>
      <c r="R10" s="62">
        <v>4.8612670493162081E-3</v>
      </c>
      <c r="S10" s="62" t="s">
        <v>1908</v>
      </c>
      <c r="T10" s="54">
        <v>3.5148467200612923E-4</v>
      </c>
      <c r="U10" s="62" t="s">
        <v>1908</v>
      </c>
      <c r="V10" s="54">
        <v>2.2547503854237799E-2</v>
      </c>
      <c r="W10" s="10" t="s">
        <v>1908</v>
      </c>
    </row>
    <row r="11" spans="1:23" ht="25.2" customHeight="1" x14ac:dyDescent="0.25">
      <c r="B11" s="16" t="s">
        <v>1014</v>
      </c>
      <c r="C11" s="17">
        <v>800</v>
      </c>
      <c r="D11" s="62">
        <v>3.3377044057175849</v>
      </c>
      <c r="E11" s="62" t="s">
        <v>1808</v>
      </c>
      <c r="F11" s="62">
        <v>15.845662444028081</v>
      </c>
      <c r="G11" s="62" t="s">
        <v>1808</v>
      </c>
      <c r="H11" s="62">
        <v>7.4975851510410869E-3</v>
      </c>
      <c r="I11" s="62" t="s">
        <v>1908</v>
      </c>
      <c r="J11" s="62">
        <v>5.4492093078389736</v>
      </c>
      <c r="K11" s="62" t="s">
        <v>1808</v>
      </c>
      <c r="L11" s="62">
        <v>2.1768376141330335E-2</v>
      </c>
      <c r="M11" s="62" t="s">
        <v>1808</v>
      </c>
      <c r="N11" s="62" t="s">
        <v>1907</v>
      </c>
      <c r="O11" s="62" t="s">
        <v>1808</v>
      </c>
      <c r="P11" s="62">
        <v>4.0460556393185278E-2</v>
      </c>
      <c r="Q11" s="62" t="s">
        <v>1908</v>
      </c>
      <c r="R11" s="62">
        <v>5.8614328850144799E-3</v>
      </c>
      <c r="S11" s="62" t="s">
        <v>1908</v>
      </c>
      <c r="T11" s="54">
        <v>3.9742819502826786E-4</v>
      </c>
      <c r="U11" s="62" t="s">
        <v>1908</v>
      </c>
      <c r="V11" s="54" t="s">
        <v>1907</v>
      </c>
      <c r="W11" s="10" t="s">
        <v>1808</v>
      </c>
    </row>
    <row r="12" spans="1:23" ht="25.2" customHeight="1" x14ac:dyDescent="0.25">
      <c r="B12" s="16" t="s">
        <v>1014</v>
      </c>
      <c r="C12" s="18">
        <v>900</v>
      </c>
      <c r="D12" s="62">
        <v>3.7449106085171424</v>
      </c>
      <c r="E12" s="62" t="s">
        <v>1808</v>
      </c>
      <c r="F12" s="62">
        <v>18.600887218952042</v>
      </c>
      <c r="G12" s="62" t="s">
        <v>1808</v>
      </c>
      <c r="H12" s="62">
        <v>3.0753506331940895E-2</v>
      </c>
      <c r="I12" s="62" t="s">
        <v>1908</v>
      </c>
      <c r="J12" s="62">
        <v>5.8505152767814685</v>
      </c>
      <c r="K12" s="62" t="s">
        <v>1808</v>
      </c>
      <c r="L12" s="62">
        <v>1.998855809991272E-2</v>
      </c>
      <c r="M12" s="62" t="s">
        <v>1808</v>
      </c>
      <c r="N12" s="62">
        <v>8.1107793804667213E-4</v>
      </c>
      <c r="O12" s="62" t="s">
        <v>1908</v>
      </c>
      <c r="P12" s="62" t="s">
        <v>1907</v>
      </c>
      <c r="Q12" s="62" t="s">
        <v>1808</v>
      </c>
      <c r="R12" s="62">
        <v>6.0762658675301883E-3</v>
      </c>
      <c r="S12" s="62" t="s">
        <v>1908</v>
      </c>
      <c r="T12" s="54">
        <v>9.3439185859070864E-4</v>
      </c>
      <c r="U12" s="62" t="s">
        <v>1908</v>
      </c>
      <c r="V12" s="54" t="s">
        <v>1907</v>
      </c>
      <c r="W12" s="10" t="s">
        <v>1808</v>
      </c>
    </row>
    <row r="13" spans="1:23" ht="25.2" customHeight="1" x14ac:dyDescent="0.25">
      <c r="B13" s="16" t="s">
        <v>1014</v>
      </c>
      <c r="C13" s="17">
        <v>1000</v>
      </c>
      <c r="D13" s="62">
        <v>7.0564891420584388</v>
      </c>
      <c r="E13" s="62" t="s">
        <v>1808</v>
      </c>
      <c r="F13" s="62">
        <v>41.18349553789816</v>
      </c>
      <c r="G13" s="62" t="s">
        <v>1808</v>
      </c>
      <c r="H13" s="62">
        <v>0.22765710710386386</v>
      </c>
      <c r="I13" s="62" t="s">
        <v>1807</v>
      </c>
      <c r="J13" s="62">
        <v>11.17157953412641</v>
      </c>
      <c r="K13" s="62" t="s">
        <v>1808</v>
      </c>
      <c r="L13" s="62">
        <v>2.4277594517445024E-2</v>
      </c>
      <c r="M13" s="62" t="s">
        <v>1808</v>
      </c>
      <c r="N13" s="62">
        <v>3.3211559883598185E-4</v>
      </c>
      <c r="O13" s="62" t="s">
        <v>1908</v>
      </c>
      <c r="P13" s="62" t="s">
        <v>1907</v>
      </c>
      <c r="Q13" s="62" t="s">
        <v>1808</v>
      </c>
      <c r="R13" s="62">
        <v>9.3145349600329639E-3</v>
      </c>
      <c r="S13" s="62" t="s">
        <v>1807</v>
      </c>
      <c r="T13" s="54">
        <v>4.7787799255954701E-4</v>
      </c>
      <c r="U13" s="62" t="s">
        <v>1908</v>
      </c>
      <c r="V13" s="54">
        <v>0.13497596736533787</v>
      </c>
      <c r="W13" s="10" t="s">
        <v>1807</v>
      </c>
    </row>
    <row r="14" spans="1:23" ht="25.2" customHeight="1" x14ac:dyDescent="0.25">
      <c r="B14" s="16" t="s">
        <v>1014</v>
      </c>
      <c r="C14" s="18">
        <v>1100</v>
      </c>
      <c r="D14" s="62">
        <v>4.4770510802940757</v>
      </c>
      <c r="E14" s="62" t="s">
        <v>1808</v>
      </c>
      <c r="F14" s="62">
        <v>24.253136951607711</v>
      </c>
      <c r="G14" s="62" t="s">
        <v>1808</v>
      </c>
      <c r="H14" s="62" t="s">
        <v>1907</v>
      </c>
      <c r="I14" s="62" t="s">
        <v>1808</v>
      </c>
      <c r="J14" s="62">
        <v>7.5044748872779765</v>
      </c>
      <c r="K14" s="62" t="s">
        <v>1808</v>
      </c>
      <c r="L14" s="62">
        <v>1.9392217891848994E-2</v>
      </c>
      <c r="M14" s="62" t="s">
        <v>1808</v>
      </c>
      <c r="N14" s="62">
        <v>7.8717278375035898E-5</v>
      </c>
      <c r="O14" s="62" t="s">
        <v>1908</v>
      </c>
      <c r="P14" s="62">
        <v>1.7938145471329547E-2</v>
      </c>
      <c r="Q14" s="62" t="s">
        <v>1908</v>
      </c>
      <c r="R14" s="62" t="s">
        <v>1907</v>
      </c>
      <c r="S14" s="62" t="s">
        <v>1808</v>
      </c>
      <c r="T14" s="54">
        <v>5.4401473706795062E-4</v>
      </c>
      <c r="U14" s="62" t="s">
        <v>1908</v>
      </c>
      <c r="V14" s="54" t="s">
        <v>1907</v>
      </c>
      <c r="W14" s="10" t="s">
        <v>1808</v>
      </c>
    </row>
    <row r="15" spans="1:23" ht="25.2" customHeight="1" x14ac:dyDescent="0.25">
      <c r="B15" s="16" t="s">
        <v>1014</v>
      </c>
      <c r="C15" s="17">
        <v>1200</v>
      </c>
      <c r="D15" s="62">
        <v>9.1082243173810067</v>
      </c>
      <c r="E15" s="62" t="s">
        <v>1808</v>
      </c>
      <c r="F15" s="62">
        <v>50.199798157022443</v>
      </c>
      <c r="G15" s="62" t="s">
        <v>1808</v>
      </c>
      <c r="H15" s="62" t="s">
        <v>1907</v>
      </c>
      <c r="I15" s="62" t="s">
        <v>1808</v>
      </c>
      <c r="J15" s="62">
        <v>13.216468909453322</v>
      </c>
      <c r="K15" s="62" t="s">
        <v>1808</v>
      </c>
      <c r="L15" s="62">
        <v>2.231761051326198E-2</v>
      </c>
      <c r="M15" s="62" t="s">
        <v>1808</v>
      </c>
      <c r="N15" s="62">
        <v>2.9689645723264102E-4</v>
      </c>
      <c r="O15" s="62" t="s">
        <v>1908</v>
      </c>
      <c r="P15" s="62" t="s">
        <v>1907</v>
      </c>
      <c r="Q15" s="62" t="s">
        <v>1808</v>
      </c>
      <c r="R15" s="62" t="s">
        <v>1907</v>
      </c>
      <c r="S15" s="62" t="s">
        <v>1808</v>
      </c>
      <c r="T15" s="54">
        <v>3.5366883577871334E-4</v>
      </c>
      <c r="U15" s="62" t="s">
        <v>1908</v>
      </c>
      <c r="V15" s="54" t="s">
        <v>1907</v>
      </c>
      <c r="W15" s="10" t="s">
        <v>1808</v>
      </c>
    </row>
    <row r="16" spans="1:23" ht="25.2" customHeight="1" x14ac:dyDescent="0.25">
      <c r="B16" s="16" t="s">
        <v>1014</v>
      </c>
      <c r="C16" s="18">
        <v>1300</v>
      </c>
      <c r="D16" s="62">
        <v>10.353570780300007</v>
      </c>
      <c r="E16" s="62" t="s">
        <v>1808</v>
      </c>
      <c r="F16" s="62">
        <v>63.804315388713171</v>
      </c>
      <c r="G16" s="62" t="s">
        <v>1808</v>
      </c>
      <c r="H16" s="62" t="s">
        <v>1907</v>
      </c>
      <c r="I16" s="62" t="s">
        <v>1808</v>
      </c>
      <c r="J16" s="62">
        <v>15.904472948744489</v>
      </c>
      <c r="K16" s="62" t="s">
        <v>1808</v>
      </c>
      <c r="L16" s="62">
        <v>2.4364599346272844E-2</v>
      </c>
      <c r="M16" s="62" t="s">
        <v>1808</v>
      </c>
      <c r="N16" s="62">
        <v>1.5798018404038295E-4</v>
      </c>
      <c r="O16" s="62" t="s">
        <v>1908</v>
      </c>
      <c r="P16" s="62" t="s">
        <v>1907</v>
      </c>
      <c r="Q16" s="62" t="s">
        <v>1808</v>
      </c>
      <c r="R16" s="62">
        <v>3.5139144409726151E-3</v>
      </c>
      <c r="S16" s="62" t="s">
        <v>1908</v>
      </c>
      <c r="T16" s="54">
        <v>8.4412667733188042E-4</v>
      </c>
      <c r="U16" s="62" t="s">
        <v>1908</v>
      </c>
      <c r="V16" s="54" t="s">
        <v>1907</v>
      </c>
      <c r="W16" s="10" t="s">
        <v>1808</v>
      </c>
    </row>
    <row r="17" spans="2:23" ht="25.2" customHeight="1" x14ac:dyDescent="0.25">
      <c r="B17" s="16" t="s">
        <v>1014</v>
      </c>
      <c r="C17" s="17">
        <v>1400</v>
      </c>
      <c r="D17" s="62">
        <v>10.435392856268347</v>
      </c>
      <c r="E17" s="62" t="s">
        <v>1808</v>
      </c>
      <c r="F17" s="62">
        <v>64.539811116498583</v>
      </c>
      <c r="G17" s="62" t="s">
        <v>1808</v>
      </c>
      <c r="H17" s="62" t="s">
        <v>1907</v>
      </c>
      <c r="I17" s="62" t="s">
        <v>1808</v>
      </c>
      <c r="J17" s="62">
        <v>17.496804550705527</v>
      </c>
      <c r="K17" s="62" t="s">
        <v>1808</v>
      </c>
      <c r="L17" s="62">
        <v>2.3466187906364788E-2</v>
      </c>
      <c r="M17" s="62" t="s">
        <v>1808</v>
      </c>
      <c r="N17" s="62">
        <v>1.6799708842480731E-2</v>
      </c>
      <c r="O17" s="62" t="s">
        <v>1808</v>
      </c>
      <c r="P17" s="62">
        <v>6.1310802425733481E-2</v>
      </c>
      <c r="Q17" s="62" t="s">
        <v>1908</v>
      </c>
      <c r="R17" s="62">
        <v>4.2775330730589235E-3</v>
      </c>
      <c r="S17" s="62" t="s">
        <v>1908</v>
      </c>
      <c r="T17" s="54">
        <v>5.2732505372660382E-4</v>
      </c>
      <c r="U17" s="62" t="s">
        <v>1908</v>
      </c>
      <c r="V17" s="54" t="s">
        <v>1907</v>
      </c>
      <c r="W17" s="10" t="s">
        <v>1808</v>
      </c>
    </row>
    <row r="18" spans="2:23" ht="25.2" customHeight="1" x14ac:dyDescent="0.25">
      <c r="B18" s="16" t="s">
        <v>1014</v>
      </c>
      <c r="C18" s="18">
        <v>1500</v>
      </c>
      <c r="D18" s="62">
        <v>8.0393326134153522</v>
      </c>
      <c r="E18" s="62" t="s">
        <v>1808</v>
      </c>
      <c r="F18" s="62">
        <v>78.099011161690498</v>
      </c>
      <c r="G18" s="62" t="s">
        <v>1808</v>
      </c>
      <c r="H18" s="62">
        <v>0.28495706663696552</v>
      </c>
      <c r="I18" s="62" t="s">
        <v>1807</v>
      </c>
      <c r="J18" s="62">
        <v>37.651497674236197</v>
      </c>
      <c r="K18" s="62" t="s">
        <v>1808</v>
      </c>
      <c r="L18" s="62">
        <v>1.7361078818966969E-2</v>
      </c>
      <c r="M18" s="62" t="s">
        <v>1808</v>
      </c>
      <c r="N18" s="62">
        <v>1.9560498296395303E-3</v>
      </c>
      <c r="O18" s="62" t="s">
        <v>1807</v>
      </c>
      <c r="P18" s="62">
        <v>0.60284799651472154</v>
      </c>
      <c r="Q18" s="62" t="s">
        <v>1807</v>
      </c>
      <c r="R18" s="62">
        <v>6.326165050407501E-3</v>
      </c>
      <c r="S18" s="62" t="s">
        <v>1807</v>
      </c>
      <c r="T18" s="54">
        <v>3.1169495485164163E-3</v>
      </c>
      <c r="U18" s="62" t="s">
        <v>1807</v>
      </c>
      <c r="V18" s="54">
        <v>0.17847299649600956</v>
      </c>
      <c r="W18" s="10" t="s">
        <v>1807</v>
      </c>
    </row>
    <row r="19" spans="2:23" ht="25.2" customHeight="1" x14ac:dyDescent="0.25">
      <c r="B19" s="16" t="s">
        <v>1015</v>
      </c>
      <c r="C19" s="17">
        <v>100</v>
      </c>
      <c r="D19" s="62">
        <v>6.2139390335843737E-2</v>
      </c>
      <c r="E19" s="62" t="s">
        <v>1908</v>
      </c>
      <c r="F19" s="62">
        <v>1.5740994413173337</v>
      </c>
      <c r="G19" s="62" t="s">
        <v>1808</v>
      </c>
      <c r="H19" s="62">
        <v>0.23170635299442899</v>
      </c>
      <c r="I19" s="62" t="s">
        <v>1807</v>
      </c>
      <c r="J19" s="62">
        <v>1.7649578690781274</v>
      </c>
      <c r="K19" s="62" t="s">
        <v>1807</v>
      </c>
      <c r="L19" s="62">
        <v>1.6648541355015919E-2</v>
      </c>
      <c r="M19" s="62" t="s">
        <v>1808</v>
      </c>
      <c r="N19" s="62" t="s">
        <v>1907</v>
      </c>
      <c r="O19" s="62" t="s">
        <v>1808</v>
      </c>
      <c r="P19" s="62" t="s">
        <v>1907</v>
      </c>
      <c r="Q19" s="62" t="s">
        <v>1808</v>
      </c>
      <c r="R19" s="62">
        <v>2.6987536722242059E-3</v>
      </c>
      <c r="S19" s="62" t="s">
        <v>1908</v>
      </c>
      <c r="T19" s="54" t="s">
        <v>1907</v>
      </c>
      <c r="U19" s="62" t="s">
        <v>1808</v>
      </c>
      <c r="V19" s="54">
        <v>0.13530431569312071</v>
      </c>
      <c r="W19" s="10" t="s">
        <v>1908</v>
      </c>
    </row>
    <row r="20" spans="2:23" ht="25.2" customHeight="1" x14ac:dyDescent="0.25">
      <c r="B20" s="16" t="s">
        <v>1015</v>
      </c>
      <c r="C20" s="18">
        <v>200</v>
      </c>
      <c r="D20" s="62">
        <v>0.84782822766361499</v>
      </c>
      <c r="E20" s="62" t="s">
        <v>1808</v>
      </c>
      <c r="F20" s="62">
        <v>4.5488408565710001</v>
      </c>
      <c r="G20" s="62" t="s">
        <v>1808</v>
      </c>
      <c r="H20" s="62" t="s">
        <v>1907</v>
      </c>
      <c r="I20" s="62" t="s">
        <v>1808</v>
      </c>
      <c r="J20" s="62">
        <v>3.229001634474312</v>
      </c>
      <c r="K20" s="62" t="s">
        <v>1808</v>
      </c>
      <c r="L20" s="62">
        <v>1.9474462355948324E-2</v>
      </c>
      <c r="M20" s="62" t="s">
        <v>1808</v>
      </c>
      <c r="N20" s="62">
        <v>1.0390044180046895E-3</v>
      </c>
      <c r="O20" s="62" t="s">
        <v>1908</v>
      </c>
      <c r="P20" s="62" t="s">
        <v>1907</v>
      </c>
      <c r="Q20" s="62" t="s">
        <v>1808</v>
      </c>
      <c r="R20" s="62">
        <v>6.3173150600485646E-3</v>
      </c>
      <c r="S20" s="62" t="s">
        <v>1908</v>
      </c>
      <c r="T20" s="54" t="s">
        <v>1907</v>
      </c>
      <c r="U20" s="62" t="s">
        <v>1808</v>
      </c>
      <c r="V20" s="54">
        <v>1.1174308768260005E-2</v>
      </c>
      <c r="W20" s="10" t="s">
        <v>1908</v>
      </c>
    </row>
    <row r="21" spans="2:23" ht="25.2" customHeight="1" x14ac:dyDescent="0.25">
      <c r="B21" s="16" t="s">
        <v>1015</v>
      </c>
      <c r="C21" s="18">
        <v>300</v>
      </c>
      <c r="D21" s="62">
        <v>1.057057867408864</v>
      </c>
      <c r="E21" s="62" t="s">
        <v>1808</v>
      </c>
      <c r="F21" s="62">
        <v>8.1007678693464804</v>
      </c>
      <c r="G21" s="62" t="s">
        <v>1808</v>
      </c>
      <c r="H21" s="62">
        <v>9.7204757697200786E-2</v>
      </c>
      <c r="I21" s="62" t="s">
        <v>1908</v>
      </c>
      <c r="J21" s="62">
        <v>3.782054619755741</v>
      </c>
      <c r="K21" s="62" t="s">
        <v>1808</v>
      </c>
      <c r="L21" s="62">
        <v>1.9943768893712657E-2</v>
      </c>
      <c r="M21" s="62" t="s">
        <v>1808</v>
      </c>
      <c r="N21" s="62">
        <v>9.2464000403717165E-4</v>
      </c>
      <c r="O21" s="62" t="s">
        <v>1908</v>
      </c>
      <c r="P21" s="62" t="s">
        <v>1907</v>
      </c>
      <c r="Q21" s="62" t="s">
        <v>1808</v>
      </c>
      <c r="R21" s="62">
        <v>6.2486118117547496E-3</v>
      </c>
      <c r="S21" s="62" t="s">
        <v>1908</v>
      </c>
      <c r="T21" s="54" t="s">
        <v>1907</v>
      </c>
      <c r="U21" s="62" t="s">
        <v>1808</v>
      </c>
      <c r="V21" s="54">
        <v>5.2712820155559503E-2</v>
      </c>
      <c r="W21" s="10" t="s">
        <v>1908</v>
      </c>
    </row>
    <row r="22" spans="2:23" ht="25.2" customHeight="1" x14ac:dyDescent="0.25">
      <c r="B22" s="16" t="s">
        <v>1015</v>
      </c>
      <c r="C22" s="17">
        <v>400</v>
      </c>
      <c r="D22" s="62">
        <v>1.4782915182996657</v>
      </c>
      <c r="E22" s="62" t="s">
        <v>1808</v>
      </c>
      <c r="F22" s="62">
        <v>10.705058020935407</v>
      </c>
      <c r="G22" s="62" t="s">
        <v>1808</v>
      </c>
      <c r="H22" s="62">
        <v>3.7295129539731284E-2</v>
      </c>
      <c r="I22" s="62" t="s">
        <v>1908</v>
      </c>
      <c r="J22" s="62">
        <v>5.9321368688781568</v>
      </c>
      <c r="K22" s="62" t="s">
        <v>1808</v>
      </c>
      <c r="L22" s="62">
        <v>2.3661734947162238E-2</v>
      </c>
      <c r="M22" s="62" t="s">
        <v>1808</v>
      </c>
      <c r="N22" s="62">
        <v>3.4107719594571664E-5</v>
      </c>
      <c r="O22" s="62" t="s">
        <v>1908</v>
      </c>
      <c r="P22" s="62" t="s">
        <v>1907</v>
      </c>
      <c r="Q22" s="62" t="s">
        <v>1808</v>
      </c>
      <c r="R22" s="62">
        <v>6.868418153822318E-3</v>
      </c>
      <c r="S22" s="62" t="s">
        <v>1908</v>
      </c>
      <c r="T22" s="54">
        <v>1.6015033984859706E-4</v>
      </c>
      <c r="U22" s="62" t="s">
        <v>1908</v>
      </c>
      <c r="V22" s="54">
        <v>1.098567771003931E-2</v>
      </c>
      <c r="W22" s="10" t="s">
        <v>1908</v>
      </c>
    </row>
    <row r="23" spans="2:23" ht="25.2" customHeight="1" x14ac:dyDescent="0.25">
      <c r="B23" s="16" t="s">
        <v>1015</v>
      </c>
      <c r="C23" s="18">
        <v>500</v>
      </c>
      <c r="D23" s="62">
        <v>1.8592191565381508</v>
      </c>
      <c r="E23" s="62" t="s">
        <v>1808</v>
      </c>
      <c r="F23" s="62">
        <v>12.263217424197636</v>
      </c>
      <c r="G23" s="62" t="s">
        <v>1808</v>
      </c>
      <c r="H23" s="62">
        <v>0.27934634008435127</v>
      </c>
      <c r="I23" s="62" t="s">
        <v>1807</v>
      </c>
      <c r="J23" s="62">
        <v>8.6672631884096525</v>
      </c>
      <c r="K23" s="62" t="s">
        <v>1808</v>
      </c>
      <c r="L23" s="62">
        <v>2.2773650989700918E-2</v>
      </c>
      <c r="M23" s="62" t="s">
        <v>1808</v>
      </c>
      <c r="N23" s="62">
        <v>3.9500792621343354E-4</v>
      </c>
      <c r="O23" s="62" t="s">
        <v>1908</v>
      </c>
      <c r="P23" s="62" t="s">
        <v>1907</v>
      </c>
      <c r="Q23" s="62" t="s">
        <v>1808</v>
      </c>
      <c r="R23" s="62">
        <v>9.3158303258820616E-3</v>
      </c>
      <c r="S23" s="62" t="s">
        <v>1908</v>
      </c>
      <c r="T23" s="54">
        <v>2.5000728513610484E-4</v>
      </c>
      <c r="U23" s="62" t="s">
        <v>1908</v>
      </c>
      <c r="V23" s="54">
        <v>9.5402833901570505E-2</v>
      </c>
      <c r="W23" s="10" t="s">
        <v>1908</v>
      </c>
    </row>
    <row r="24" spans="2:23" ht="25.2" customHeight="1" x14ac:dyDescent="0.25">
      <c r="B24" s="16" t="s">
        <v>1016</v>
      </c>
      <c r="C24" s="17">
        <v>100</v>
      </c>
      <c r="D24" s="62">
        <v>9.0002764275962363E-2</v>
      </c>
      <c r="E24" s="62" t="s">
        <v>1908</v>
      </c>
      <c r="F24" s="62">
        <v>2.7779607712260872</v>
      </c>
      <c r="G24" s="62" t="s">
        <v>1808</v>
      </c>
      <c r="H24" s="62">
        <v>5.6249347900309783E-2</v>
      </c>
      <c r="I24" s="62" t="s">
        <v>1908</v>
      </c>
      <c r="J24" s="62">
        <v>2.1370607838056666</v>
      </c>
      <c r="K24" s="62" t="s">
        <v>1807</v>
      </c>
      <c r="L24" s="62">
        <v>1.7667822414340277E-2</v>
      </c>
      <c r="M24" s="62" t="s">
        <v>1808</v>
      </c>
      <c r="N24" s="62">
        <v>4.1615740737483309E-4</v>
      </c>
      <c r="O24" s="62" t="s">
        <v>1908</v>
      </c>
      <c r="P24" s="62">
        <v>0.20143991603025266</v>
      </c>
      <c r="Q24" s="62" t="s">
        <v>1908</v>
      </c>
      <c r="R24" s="62">
        <v>4.5510109385996931E-3</v>
      </c>
      <c r="S24" s="62" t="s">
        <v>1908</v>
      </c>
      <c r="T24" s="54">
        <v>5.2184864465167264E-4</v>
      </c>
      <c r="U24" s="62" t="s">
        <v>1908</v>
      </c>
      <c r="V24" s="54">
        <v>4.2648153794109189E-2</v>
      </c>
      <c r="W24" s="10" t="s">
        <v>1908</v>
      </c>
    </row>
    <row r="25" spans="2:23" ht="25.2" customHeight="1" x14ac:dyDescent="0.25">
      <c r="B25" s="16" t="s">
        <v>1016</v>
      </c>
      <c r="C25" s="18">
        <v>200</v>
      </c>
      <c r="D25" s="62">
        <v>0.1837921017581827</v>
      </c>
      <c r="E25" s="62" t="s">
        <v>1908</v>
      </c>
      <c r="F25" s="62">
        <v>2.942511476794567</v>
      </c>
      <c r="G25" s="62" t="s">
        <v>1808</v>
      </c>
      <c r="H25" s="62">
        <v>2.7419540675504651E-2</v>
      </c>
      <c r="I25" s="62" t="s">
        <v>1908</v>
      </c>
      <c r="J25" s="62">
        <v>4.0711655624875664</v>
      </c>
      <c r="K25" s="62" t="s">
        <v>1808</v>
      </c>
      <c r="L25" s="62">
        <v>1.8560877174647231E-2</v>
      </c>
      <c r="M25" s="62" t="s">
        <v>1808</v>
      </c>
      <c r="N25" s="62">
        <v>4.055122845990332E-3</v>
      </c>
      <c r="O25" s="62" t="s">
        <v>1807</v>
      </c>
      <c r="P25" s="62">
        <v>0.12016140187331953</v>
      </c>
      <c r="Q25" s="62" t="s">
        <v>1908</v>
      </c>
      <c r="R25" s="62">
        <v>6.0671691859117078E-3</v>
      </c>
      <c r="S25" s="62" t="s">
        <v>1908</v>
      </c>
      <c r="T25" s="54">
        <v>3.7049396824251259E-4</v>
      </c>
      <c r="U25" s="62" t="s">
        <v>1908</v>
      </c>
      <c r="V25" s="54">
        <v>1.74874343049847E-2</v>
      </c>
      <c r="W25" s="10" t="s">
        <v>1908</v>
      </c>
    </row>
    <row r="26" spans="2:23" ht="25.2" customHeight="1" x14ac:dyDescent="0.25">
      <c r="B26" s="16" t="s">
        <v>1016</v>
      </c>
      <c r="C26" s="18">
        <v>300</v>
      </c>
      <c r="D26" s="62">
        <v>0.25638208150027453</v>
      </c>
      <c r="E26" s="62" t="s">
        <v>1807</v>
      </c>
      <c r="F26" s="62">
        <v>2.1340805921926131</v>
      </c>
      <c r="G26" s="62" t="s">
        <v>1808</v>
      </c>
      <c r="H26" s="62">
        <v>4.9783286171639969E-2</v>
      </c>
      <c r="I26" s="62" t="s">
        <v>1908</v>
      </c>
      <c r="J26" s="62">
        <v>8.6128737707561065</v>
      </c>
      <c r="K26" s="62" t="s">
        <v>1808</v>
      </c>
      <c r="L26" s="62">
        <v>1.8067882978425695E-2</v>
      </c>
      <c r="M26" s="62" t="s">
        <v>1808</v>
      </c>
      <c r="N26" s="62">
        <v>2.7885478907046596E-4</v>
      </c>
      <c r="O26" s="62" t="s">
        <v>1908</v>
      </c>
      <c r="P26" s="62">
        <v>0.27044395713944458</v>
      </c>
      <c r="Q26" s="62" t="s">
        <v>1908</v>
      </c>
      <c r="R26" s="62">
        <v>7.201832794788224E-3</v>
      </c>
      <c r="S26" s="62" t="s">
        <v>1908</v>
      </c>
      <c r="T26" s="54">
        <v>4.768303434853256E-4</v>
      </c>
      <c r="U26" s="62" t="s">
        <v>1908</v>
      </c>
      <c r="V26" s="54">
        <v>3.7631711690055053E-2</v>
      </c>
      <c r="W26" s="10" t="s">
        <v>1908</v>
      </c>
    </row>
    <row r="27" spans="2:23" ht="25.2" customHeight="1" x14ac:dyDescent="0.25">
      <c r="B27" s="16" t="s">
        <v>1016</v>
      </c>
      <c r="C27" s="17">
        <v>400</v>
      </c>
      <c r="D27" s="62">
        <v>0.47498162437506503</v>
      </c>
      <c r="E27" s="62" t="s">
        <v>1807</v>
      </c>
      <c r="F27" s="62">
        <v>3.1697046236938808</v>
      </c>
      <c r="G27" s="62" t="s">
        <v>1808</v>
      </c>
      <c r="H27" s="62">
        <v>0.10762700953407177</v>
      </c>
      <c r="I27" s="62" t="s">
        <v>1908</v>
      </c>
      <c r="J27" s="62">
        <v>5.2952352620712233</v>
      </c>
      <c r="K27" s="62" t="s">
        <v>1808</v>
      </c>
      <c r="L27" s="62">
        <v>2.2842856927891904E-2</v>
      </c>
      <c r="M27" s="62" t="s">
        <v>1808</v>
      </c>
      <c r="N27" s="62" t="s">
        <v>1907</v>
      </c>
      <c r="O27" s="62" t="s">
        <v>1808</v>
      </c>
      <c r="P27" s="62">
        <v>8.1097889045943103E-2</v>
      </c>
      <c r="Q27" s="62" t="s">
        <v>1908</v>
      </c>
      <c r="R27" s="62">
        <v>6.7447298126722486E-3</v>
      </c>
      <c r="S27" s="62" t="s">
        <v>1908</v>
      </c>
      <c r="T27" s="54">
        <v>7.5173328215563434E-4</v>
      </c>
      <c r="U27" s="62" t="s">
        <v>1908</v>
      </c>
      <c r="V27" s="54">
        <v>5.7089451696665135E-2</v>
      </c>
      <c r="W27" s="10" t="s">
        <v>1908</v>
      </c>
    </row>
    <row r="28" spans="2:23" ht="25.2" customHeight="1" x14ac:dyDescent="0.25">
      <c r="B28" s="16" t="s">
        <v>1016</v>
      </c>
      <c r="C28" s="18">
        <v>500</v>
      </c>
      <c r="D28" s="62">
        <v>0.80533801211061162</v>
      </c>
      <c r="E28" s="62" t="s">
        <v>1808</v>
      </c>
      <c r="F28" s="62">
        <v>4.4975559404593337</v>
      </c>
      <c r="G28" s="62" t="s">
        <v>1808</v>
      </c>
      <c r="H28" s="62">
        <v>1.9158787552686674E-2</v>
      </c>
      <c r="I28" s="62" t="s">
        <v>1908</v>
      </c>
      <c r="J28" s="62">
        <v>5.5989244561916287</v>
      </c>
      <c r="K28" s="62" t="s">
        <v>1808</v>
      </c>
      <c r="L28" s="62">
        <v>1.8420167527632762E-2</v>
      </c>
      <c r="M28" s="62" t="s">
        <v>1808</v>
      </c>
      <c r="N28" s="62">
        <v>1.0286100127871118E-4</v>
      </c>
      <c r="O28" s="62" t="s">
        <v>1908</v>
      </c>
      <c r="P28" s="62">
        <v>1.9152234675395043E-2</v>
      </c>
      <c r="Q28" s="62" t="s">
        <v>1908</v>
      </c>
      <c r="R28" s="62">
        <v>6.9279024677061122E-3</v>
      </c>
      <c r="S28" s="62" t="s">
        <v>1908</v>
      </c>
      <c r="T28" s="54">
        <v>4.8569009652633309E-4</v>
      </c>
      <c r="U28" s="62" t="s">
        <v>1908</v>
      </c>
      <c r="V28" s="54">
        <v>7.7138882029075387E-2</v>
      </c>
      <c r="W28" s="10" t="s">
        <v>1908</v>
      </c>
    </row>
    <row r="29" spans="2:23" ht="25.2" customHeight="1" x14ac:dyDescent="0.25">
      <c r="B29" s="16" t="s">
        <v>1344</v>
      </c>
      <c r="C29" s="17">
        <v>100</v>
      </c>
      <c r="D29" s="62">
        <v>1.1947279633344501</v>
      </c>
      <c r="E29" s="62" t="s">
        <v>1808</v>
      </c>
      <c r="F29" s="62">
        <v>0.94585635263160994</v>
      </c>
      <c r="G29" s="62" t="s">
        <v>1808</v>
      </c>
      <c r="H29" s="62">
        <v>0.19288221976162803</v>
      </c>
      <c r="I29" s="62" t="s">
        <v>1908</v>
      </c>
      <c r="J29" s="62">
        <v>0.30776930762683075</v>
      </c>
      <c r="K29" s="62" t="s">
        <v>1908</v>
      </c>
      <c r="L29" s="62">
        <v>3.695051953385476E-2</v>
      </c>
      <c r="M29" s="62" t="s">
        <v>1808</v>
      </c>
      <c r="N29" s="62" t="s">
        <v>1907</v>
      </c>
      <c r="O29" s="62" t="s">
        <v>1808</v>
      </c>
      <c r="P29" s="62">
        <v>5.6110101973343672E-2</v>
      </c>
      <c r="Q29" s="62" t="s">
        <v>1908</v>
      </c>
      <c r="R29" s="62">
        <v>1.2744026656654958E-2</v>
      </c>
      <c r="S29" s="62" t="s">
        <v>1807</v>
      </c>
      <c r="T29" s="54">
        <v>1.4703479083678744E-5</v>
      </c>
      <c r="U29" s="62" t="s">
        <v>1908</v>
      </c>
      <c r="V29" s="54">
        <v>0.14541476858423252</v>
      </c>
      <c r="W29" s="10" t="s">
        <v>1807</v>
      </c>
    </row>
    <row r="30" spans="2:23" ht="25.2" customHeight="1" x14ac:dyDescent="0.25">
      <c r="B30" s="16" t="s">
        <v>1344</v>
      </c>
      <c r="C30" s="18">
        <v>200</v>
      </c>
      <c r="D30" s="62">
        <v>2.6468337737169727</v>
      </c>
      <c r="E30" s="62" t="s">
        <v>1808</v>
      </c>
      <c r="F30" s="62">
        <v>2.019261990634357</v>
      </c>
      <c r="G30" s="62" t="s">
        <v>1808</v>
      </c>
      <c r="H30" s="62">
        <v>3.3814262795210044</v>
      </c>
      <c r="I30" s="62" t="s">
        <v>1808</v>
      </c>
      <c r="J30" s="62">
        <v>2.3115505617054111</v>
      </c>
      <c r="K30" s="62" t="s">
        <v>1807</v>
      </c>
      <c r="L30" s="62">
        <v>3.9827112684148437E-2</v>
      </c>
      <c r="M30" s="62" t="s">
        <v>1808</v>
      </c>
      <c r="N30" s="62">
        <v>1.1771953430834082E-2</v>
      </c>
      <c r="O30" s="62" t="s">
        <v>1808</v>
      </c>
      <c r="P30" s="62">
        <v>0.34450880811327028</v>
      </c>
      <c r="Q30" s="62" t="s">
        <v>1908</v>
      </c>
      <c r="R30" s="62">
        <v>2.6025529390688272E-2</v>
      </c>
      <c r="S30" s="62" t="s">
        <v>1807</v>
      </c>
      <c r="T30" s="54">
        <v>2.2780922230381507E-3</v>
      </c>
      <c r="U30" s="62" t="s">
        <v>1908</v>
      </c>
      <c r="V30" s="54">
        <v>0.84639147899393308</v>
      </c>
      <c r="W30" s="10" t="s">
        <v>1808</v>
      </c>
    </row>
    <row r="31" spans="2:23" ht="25.2" customHeight="1" x14ac:dyDescent="0.25">
      <c r="B31" s="16" t="s">
        <v>1344</v>
      </c>
      <c r="C31" s="18">
        <v>300</v>
      </c>
      <c r="D31" s="62">
        <v>3.0846455285520591</v>
      </c>
      <c r="E31" s="62" t="s">
        <v>1808</v>
      </c>
      <c r="F31" s="62">
        <v>2.6209638322967375</v>
      </c>
      <c r="G31" s="62" t="s">
        <v>1808</v>
      </c>
      <c r="H31" s="62">
        <v>0.1511625876105461</v>
      </c>
      <c r="I31" s="62" t="s">
        <v>1908</v>
      </c>
      <c r="J31" s="62">
        <v>0.40916515991824765</v>
      </c>
      <c r="K31" s="62" t="s">
        <v>1908</v>
      </c>
      <c r="L31" s="62">
        <v>4.2282963556776285E-2</v>
      </c>
      <c r="M31" s="62" t="s">
        <v>1808</v>
      </c>
      <c r="N31" s="62" t="s">
        <v>1907</v>
      </c>
      <c r="O31" s="62" t="s">
        <v>1808</v>
      </c>
      <c r="P31" s="62">
        <v>5.2957411954665377E-2</v>
      </c>
      <c r="Q31" s="62" t="s">
        <v>1908</v>
      </c>
      <c r="R31" s="62">
        <v>1.7162823099111067E-2</v>
      </c>
      <c r="S31" s="62" t="s">
        <v>1807</v>
      </c>
      <c r="T31" s="54">
        <v>3.5713084601410318E-5</v>
      </c>
      <c r="U31" s="62" t="s">
        <v>1908</v>
      </c>
      <c r="V31" s="54">
        <v>9.1581618137065016E-2</v>
      </c>
      <c r="W31" s="10" t="s">
        <v>1908</v>
      </c>
    </row>
    <row r="32" spans="2:23" ht="25.2" customHeight="1" x14ac:dyDescent="0.25">
      <c r="B32" s="16" t="s">
        <v>1344</v>
      </c>
      <c r="C32" s="17">
        <v>400</v>
      </c>
      <c r="D32" s="62">
        <v>1.3596261801475544</v>
      </c>
      <c r="E32" s="62" t="s">
        <v>1808</v>
      </c>
      <c r="F32" s="62">
        <v>1.2739618763094558</v>
      </c>
      <c r="G32" s="62" t="s">
        <v>1808</v>
      </c>
      <c r="H32" s="62">
        <v>3.9504368509598826E-2</v>
      </c>
      <c r="I32" s="62" t="s">
        <v>1908</v>
      </c>
      <c r="J32" s="62">
        <v>0.41809351751597934</v>
      </c>
      <c r="K32" s="62" t="s">
        <v>1908</v>
      </c>
      <c r="L32" s="62">
        <v>3.8448849648202499E-2</v>
      </c>
      <c r="M32" s="62" t="s">
        <v>1808</v>
      </c>
      <c r="N32" s="62">
        <v>4.2410100242419124E-4</v>
      </c>
      <c r="O32" s="62" t="s">
        <v>1908</v>
      </c>
      <c r="P32" s="62" t="s">
        <v>1907</v>
      </c>
      <c r="Q32" s="62" t="s">
        <v>1808</v>
      </c>
      <c r="R32" s="62">
        <v>1.1796383836949139E-2</v>
      </c>
      <c r="S32" s="62" t="s">
        <v>1807</v>
      </c>
      <c r="T32" s="54">
        <v>1.3534192260290375E-4</v>
      </c>
      <c r="U32" s="62" t="s">
        <v>1908</v>
      </c>
      <c r="V32" s="54" t="s">
        <v>1907</v>
      </c>
      <c r="W32" s="10" t="s">
        <v>1808</v>
      </c>
    </row>
    <row r="33" spans="2:23" ht="25.2" customHeight="1" x14ac:dyDescent="0.25">
      <c r="B33" s="16" t="s">
        <v>1344</v>
      </c>
      <c r="C33" s="18">
        <v>500</v>
      </c>
      <c r="D33" s="62">
        <v>2.1409676014318713</v>
      </c>
      <c r="E33" s="62" t="s">
        <v>1808</v>
      </c>
      <c r="F33" s="62">
        <v>1.0778659908319332</v>
      </c>
      <c r="G33" s="62" t="s">
        <v>1808</v>
      </c>
      <c r="H33" s="62">
        <v>7.7613815262889976E-2</v>
      </c>
      <c r="I33" s="62" t="s">
        <v>1908</v>
      </c>
      <c r="J33" s="62">
        <v>1.0183858190327562</v>
      </c>
      <c r="K33" s="62" t="s">
        <v>1807</v>
      </c>
      <c r="L33" s="62">
        <v>4.2004771490037694E-2</v>
      </c>
      <c r="M33" s="62" t="s">
        <v>1808</v>
      </c>
      <c r="N33" s="62">
        <v>2.3173718991444277E-4</v>
      </c>
      <c r="O33" s="62" t="s">
        <v>1908</v>
      </c>
      <c r="P33" s="62">
        <v>0.73473133742556451</v>
      </c>
      <c r="Q33" s="62" t="s">
        <v>1807</v>
      </c>
      <c r="R33" s="62">
        <v>1.7499201116184162E-2</v>
      </c>
      <c r="S33" s="62" t="s">
        <v>1807</v>
      </c>
      <c r="T33" s="54">
        <v>6.5023629365440852E-4</v>
      </c>
      <c r="U33" s="62" t="s">
        <v>1908</v>
      </c>
      <c r="V33" s="54" t="s">
        <v>1907</v>
      </c>
      <c r="W33" s="10" t="s">
        <v>1808</v>
      </c>
    </row>
    <row r="34" spans="2:23" ht="25.2" customHeight="1" x14ac:dyDescent="0.25">
      <c r="B34" s="16" t="s">
        <v>1344</v>
      </c>
      <c r="C34" s="17">
        <v>600</v>
      </c>
      <c r="D34" s="62">
        <v>0.63526118613688376</v>
      </c>
      <c r="E34" s="62" t="s">
        <v>1808</v>
      </c>
      <c r="F34" s="62">
        <v>0.37139207181547973</v>
      </c>
      <c r="G34" s="62" t="s">
        <v>1808</v>
      </c>
      <c r="H34" s="62">
        <v>0.28649990133695491</v>
      </c>
      <c r="I34" s="62" t="s">
        <v>1807</v>
      </c>
      <c r="J34" s="62">
        <v>0.74153610061124187</v>
      </c>
      <c r="K34" s="62" t="s">
        <v>1807</v>
      </c>
      <c r="L34" s="62">
        <v>2.7031886753026913E-2</v>
      </c>
      <c r="M34" s="62" t="s">
        <v>1808</v>
      </c>
      <c r="N34" s="62">
        <v>3.3463238060504045E-4</v>
      </c>
      <c r="O34" s="62" t="s">
        <v>1908</v>
      </c>
      <c r="P34" s="62">
        <v>6.1518694228474287E-2</v>
      </c>
      <c r="Q34" s="62" t="s">
        <v>1908</v>
      </c>
      <c r="R34" s="62">
        <v>1.2526643495852688E-2</v>
      </c>
      <c r="S34" s="62" t="s">
        <v>1807</v>
      </c>
      <c r="T34" s="54">
        <v>4.5748343250456765E-4</v>
      </c>
      <c r="U34" s="62" t="s">
        <v>1908</v>
      </c>
      <c r="V34" s="54">
        <v>0.18607740808762274</v>
      </c>
      <c r="W34" s="10" t="s">
        <v>1807</v>
      </c>
    </row>
    <row r="35" spans="2:23" ht="25.2" customHeight="1" x14ac:dyDescent="0.25">
      <c r="B35" s="16" t="s">
        <v>1344</v>
      </c>
      <c r="C35" s="18">
        <v>700</v>
      </c>
      <c r="D35" s="62">
        <v>1.6924232767940264</v>
      </c>
      <c r="E35" s="62" t="s">
        <v>1808</v>
      </c>
      <c r="F35" s="62">
        <v>1.1307832006541958</v>
      </c>
      <c r="G35" s="62" t="s">
        <v>1808</v>
      </c>
      <c r="H35" s="62">
        <v>0.16037119455555846</v>
      </c>
      <c r="I35" s="62" t="s">
        <v>1908</v>
      </c>
      <c r="J35" s="62">
        <v>0.73697224120767635</v>
      </c>
      <c r="K35" s="62" t="s">
        <v>1807</v>
      </c>
      <c r="L35" s="62">
        <v>3.1910508418058127E-2</v>
      </c>
      <c r="M35" s="62" t="s">
        <v>1808</v>
      </c>
      <c r="N35" s="62">
        <v>4.1163501803489566E-4</v>
      </c>
      <c r="O35" s="62" t="s">
        <v>1908</v>
      </c>
      <c r="P35" s="62">
        <v>0.11925956999930563</v>
      </c>
      <c r="Q35" s="62" t="s">
        <v>1908</v>
      </c>
      <c r="R35" s="62">
        <v>1.2535267586980378E-2</v>
      </c>
      <c r="S35" s="62" t="s">
        <v>1807</v>
      </c>
      <c r="T35" s="54">
        <v>1.5704361072725389E-3</v>
      </c>
      <c r="U35" s="62" t="s">
        <v>1908</v>
      </c>
      <c r="V35" s="54">
        <v>0.11543187151432377</v>
      </c>
      <c r="W35" s="10" t="s">
        <v>1908</v>
      </c>
    </row>
    <row r="36" spans="2:23" ht="25.2" customHeight="1" x14ac:dyDescent="0.25">
      <c r="B36" s="16" t="s">
        <v>1344</v>
      </c>
      <c r="C36" s="17">
        <v>800</v>
      </c>
      <c r="D36" s="62">
        <v>3.1714891719253111</v>
      </c>
      <c r="E36" s="62" t="s">
        <v>1808</v>
      </c>
      <c r="F36" s="62">
        <v>4.2746568219660741</v>
      </c>
      <c r="G36" s="62" t="s">
        <v>1808</v>
      </c>
      <c r="H36" s="62">
        <v>7.5385787002351129E-2</v>
      </c>
      <c r="I36" s="62" t="s">
        <v>1908</v>
      </c>
      <c r="J36" s="62">
        <v>1.3147657691986603</v>
      </c>
      <c r="K36" s="62" t="s">
        <v>1807</v>
      </c>
      <c r="L36" s="62">
        <v>3.986651738733811E-2</v>
      </c>
      <c r="M36" s="62" t="s">
        <v>1808</v>
      </c>
      <c r="N36" s="62">
        <v>2.838507409097751E-3</v>
      </c>
      <c r="O36" s="62" t="s">
        <v>1807</v>
      </c>
      <c r="P36" s="62">
        <v>0.16452195882399287</v>
      </c>
      <c r="Q36" s="62" t="s">
        <v>1908</v>
      </c>
      <c r="R36" s="62">
        <v>1.6950787493555546E-2</v>
      </c>
      <c r="S36" s="62" t="s">
        <v>1807</v>
      </c>
      <c r="T36" s="54">
        <v>6.3112963692937829E-4</v>
      </c>
      <c r="U36" s="62" t="s">
        <v>1908</v>
      </c>
      <c r="V36" s="54">
        <v>4.8794529531170833E-2</v>
      </c>
      <c r="W36" s="10" t="s">
        <v>1908</v>
      </c>
    </row>
    <row r="37" spans="2:23" ht="25.2" customHeight="1" x14ac:dyDescent="0.25">
      <c r="B37" s="16" t="s">
        <v>1344</v>
      </c>
      <c r="C37" s="18">
        <v>900</v>
      </c>
      <c r="D37" s="62">
        <v>2.1477623480878392</v>
      </c>
      <c r="E37" s="62" t="s">
        <v>1808</v>
      </c>
      <c r="F37" s="62">
        <v>2.8524617388211082</v>
      </c>
      <c r="G37" s="62" t="s">
        <v>1808</v>
      </c>
      <c r="H37" s="62">
        <v>4.7366889301182394E-2</v>
      </c>
      <c r="I37" s="62" t="s">
        <v>1908</v>
      </c>
      <c r="J37" s="62">
        <v>0.61291055203879374</v>
      </c>
      <c r="K37" s="62" t="s">
        <v>1908</v>
      </c>
      <c r="L37" s="62">
        <v>4.1451448332120361E-2</v>
      </c>
      <c r="M37" s="62" t="s">
        <v>1808</v>
      </c>
      <c r="N37" s="62" t="s">
        <v>1907</v>
      </c>
      <c r="O37" s="62" t="s">
        <v>1808</v>
      </c>
      <c r="P37" s="62">
        <v>1.8316164805919778E-2</v>
      </c>
      <c r="Q37" s="62" t="s">
        <v>1908</v>
      </c>
      <c r="R37" s="62">
        <v>1.5463252898476203E-2</v>
      </c>
      <c r="S37" s="62" t="s">
        <v>1807</v>
      </c>
      <c r="T37" s="54">
        <v>1.6015529082122944E-3</v>
      </c>
      <c r="U37" s="62" t="s">
        <v>1908</v>
      </c>
      <c r="V37" s="54">
        <v>2.8656163473892715E-2</v>
      </c>
      <c r="W37" s="10" t="s">
        <v>1908</v>
      </c>
    </row>
    <row r="38" spans="2:23" ht="25.2" customHeight="1" x14ac:dyDescent="0.25">
      <c r="B38" s="16" t="s">
        <v>1344</v>
      </c>
      <c r="C38" s="17">
        <v>1000</v>
      </c>
      <c r="D38" s="62">
        <v>7.1391335389914818</v>
      </c>
      <c r="E38" s="62" t="s">
        <v>1808</v>
      </c>
      <c r="F38" s="62">
        <v>9.9687301195152145</v>
      </c>
      <c r="G38" s="62" t="s">
        <v>1808</v>
      </c>
      <c r="H38" s="62">
        <v>0.28116838977170622</v>
      </c>
      <c r="I38" s="62" t="s">
        <v>1807</v>
      </c>
      <c r="J38" s="62">
        <v>1.5400141419220055</v>
      </c>
      <c r="K38" s="62" t="s">
        <v>1807</v>
      </c>
      <c r="L38" s="62">
        <v>5.6826614276818115E-2</v>
      </c>
      <c r="M38" s="62" t="s">
        <v>1808</v>
      </c>
      <c r="N38" s="62">
        <v>1.6040018091896622E-5</v>
      </c>
      <c r="O38" s="62" t="s">
        <v>1908</v>
      </c>
      <c r="P38" s="62">
        <v>6.8620938774966375E-2</v>
      </c>
      <c r="Q38" s="62" t="s">
        <v>1908</v>
      </c>
      <c r="R38" s="62">
        <v>3.6947400020413614E-2</v>
      </c>
      <c r="S38" s="62" t="s">
        <v>1808</v>
      </c>
      <c r="T38" s="54">
        <v>1.229013191434995E-3</v>
      </c>
      <c r="U38" s="62" t="s">
        <v>1908</v>
      </c>
      <c r="V38" s="54">
        <v>0.17127874650890018</v>
      </c>
      <c r="W38" s="10" t="s">
        <v>1807</v>
      </c>
    </row>
    <row r="39" spans="2:23" ht="25.2" customHeight="1" x14ac:dyDescent="0.25">
      <c r="B39" s="16" t="s">
        <v>1344</v>
      </c>
      <c r="C39" s="18">
        <v>1100</v>
      </c>
      <c r="D39" s="62">
        <v>14.293760788616201</v>
      </c>
      <c r="E39" s="62" t="s">
        <v>1808</v>
      </c>
      <c r="F39" s="62">
        <v>21.942190537675582</v>
      </c>
      <c r="G39" s="62" t="s">
        <v>1808</v>
      </c>
      <c r="H39" s="62">
        <v>8.0614021956882775E-2</v>
      </c>
      <c r="I39" s="62" t="s">
        <v>1908</v>
      </c>
      <c r="J39" s="62">
        <v>1.8593267835587959</v>
      </c>
      <c r="K39" s="62" t="s">
        <v>1807</v>
      </c>
      <c r="L39" s="62">
        <v>5.7914567235346423E-2</v>
      </c>
      <c r="M39" s="62" t="s">
        <v>1808</v>
      </c>
      <c r="N39" s="62">
        <v>3.5067665522274413E-4</v>
      </c>
      <c r="O39" s="62" t="s">
        <v>1908</v>
      </c>
      <c r="P39" s="62">
        <v>0.14954837756333611</v>
      </c>
      <c r="Q39" s="62" t="s">
        <v>1908</v>
      </c>
      <c r="R39" s="62">
        <v>3.7806411696416305E-2</v>
      </c>
      <c r="S39" s="62" t="s">
        <v>1808</v>
      </c>
      <c r="T39" s="54">
        <v>5.7816867331812651E-4</v>
      </c>
      <c r="U39" s="62" t="s">
        <v>1908</v>
      </c>
      <c r="V39" s="54">
        <v>8.8113807077715267E-2</v>
      </c>
      <c r="W39" s="10" t="s">
        <v>1908</v>
      </c>
    </row>
    <row r="40" spans="2:23" ht="25.2" customHeight="1" x14ac:dyDescent="0.25">
      <c r="B40" s="16" t="s">
        <v>1344</v>
      </c>
      <c r="C40" s="17">
        <v>1200</v>
      </c>
      <c r="D40" s="62">
        <v>33.142777403516014</v>
      </c>
      <c r="E40" s="62" t="s">
        <v>1808</v>
      </c>
      <c r="F40" s="62">
        <v>81.756535923060852</v>
      </c>
      <c r="G40" s="62" t="s">
        <v>1808</v>
      </c>
      <c r="H40" s="62">
        <v>6.5422571558576684E-2</v>
      </c>
      <c r="I40" s="62" t="s">
        <v>1908</v>
      </c>
      <c r="J40" s="62">
        <v>3.6362530785383602</v>
      </c>
      <c r="K40" s="62" t="s">
        <v>1808</v>
      </c>
      <c r="L40" s="62">
        <v>8.0709022458973781E-2</v>
      </c>
      <c r="M40" s="62" t="s">
        <v>1808</v>
      </c>
      <c r="N40" s="62">
        <v>1.7488207720004885E-4</v>
      </c>
      <c r="O40" s="62" t="s">
        <v>1908</v>
      </c>
      <c r="P40" s="62">
        <v>0.13082684026884006</v>
      </c>
      <c r="Q40" s="62" t="s">
        <v>1908</v>
      </c>
      <c r="R40" s="62">
        <v>6.9735043120093043E-2</v>
      </c>
      <c r="S40" s="62" t="s">
        <v>1808</v>
      </c>
      <c r="T40" s="54">
        <v>5.7104064767622784E-4</v>
      </c>
      <c r="U40" s="62" t="s">
        <v>1908</v>
      </c>
      <c r="V40" s="54">
        <v>9.9393157502915108E-2</v>
      </c>
      <c r="W40" s="10" t="s">
        <v>1908</v>
      </c>
    </row>
    <row r="41" spans="2:23" ht="25.2" customHeight="1" x14ac:dyDescent="0.25">
      <c r="B41" s="16" t="s">
        <v>1344</v>
      </c>
      <c r="C41" s="18">
        <v>1300</v>
      </c>
      <c r="D41" s="62">
        <v>7.0023333026101273</v>
      </c>
      <c r="E41" s="62" t="s">
        <v>1808</v>
      </c>
      <c r="F41" s="62">
        <v>40.803998522962914</v>
      </c>
      <c r="G41" s="62" t="s">
        <v>1808</v>
      </c>
      <c r="H41" s="62">
        <v>0.10020804490652982</v>
      </c>
      <c r="I41" s="62" t="s">
        <v>1908</v>
      </c>
      <c r="J41" s="62">
        <v>2.7136479452274593</v>
      </c>
      <c r="K41" s="62" t="s">
        <v>1808</v>
      </c>
      <c r="L41" s="62">
        <v>3.8615548250065503E-2</v>
      </c>
      <c r="M41" s="62" t="s">
        <v>1808</v>
      </c>
      <c r="N41" s="62">
        <v>2.2345424135557874E-4</v>
      </c>
      <c r="O41" s="62" t="s">
        <v>1908</v>
      </c>
      <c r="P41" s="62">
        <v>8.2887816036685116E-2</v>
      </c>
      <c r="Q41" s="62" t="s">
        <v>1908</v>
      </c>
      <c r="R41" s="62">
        <v>3.6509806028052399E-2</v>
      </c>
      <c r="S41" s="62" t="s">
        <v>1808</v>
      </c>
      <c r="T41" s="54">
        <v>1.1136038458383138E-3</v>
      </c>
      <c r="U41" s="62" t="s">
        <v>1908</v>
      </c>
      <c r="V41" s="54">
        <v>9.6070683512304883E-2</v>
      </c>
      <c r="W41" s="10" t="s">
        <v>1807</v>
      </c>
    </row>
    <row r="42" spans="2:23" ht="25.2" customHeight="1" x14ac:dyDescent="0.25">
      <c r="B42" s="16" t="s">
        <v>1345</v>
      </c>
      <c r="C42" s="17">
        <v>100</v>
      </c>
      <c r="D42" s="62">
        <v>0.18874373334387085</v>
      </c>
      <c r="E42" s="62" t="s">
        <v>1807</v>
      </c>
      <c r="F42" s="62">
        <v>1.6158421105385667</v>
      </c>
      <c r="G42" s="62" t="s">
        <v>1808</v>
      </c>
      <c r="H42" s="62" t="s">
        <v>1907</v>
      </c>
      <c r="I42" s="62" t="s">
        <v>1808</v>
      </c>
      <c r="J42" s="62" t="s">
        <v>1907</v>
      </c>
      <c r="K42" s="62" t="s">
        <v>1808</v>
      </c>
      <c r="L42" s="62">
        <v>5.5138355567838124E-2</v>
      </c>
      <c r="M42" s="62" t="s">
        <v>1808</v>
      </c>
      <c r="N42" s="62" t="s">
        <v>1907</v>
      </c>
      <c r="O42" s="62" t="s">
        <v>1808</v>
      </c>
      <c r="P42" s="62" t="s">
        <v>1907</v>
      </c>
      <c r="Q42" s="62" t="s">
        <v>1808</v>
      </c>
      <c r="R42" s="62">
        <v>8.1720352451442463E-3</v>
      </c>
      <c r="S42" s="62" t="s">
        <v>1908</v>
      </c>
      <c r="T42" s="54" t="s">
        <v>1907</v>
      </c>
      <c r="U42" s="62" t="s">
        <v>1808</v>
      </c>
      <c r="V42" s="54" t="s">
        <v>1907</v>
      </c>
      <c r="W42" s="10" t="s">
        <v>1808</v>
      </c>
    </row>
    <row r="43" spans="2:23" ht="25.2" customHeight="1" x14ac:dyDescent="0.25">
      <c r="B43" s="16" t="s">
        <v>1345</v>
      </c>
      <c r="C43" s="17">
        <v>200</v>
      </c>
      <c r="D43" s="62">
        <v>0.28224026979790562</v>
      </c>
      <c r="E43" s="62" t="s">
        <v>1807</v>
      </c>
      <c r="F43" s="62">
        <v>1.9277540932191106</v>
      </c>
      <c r="G43" s="62" t="s">
        <v>1808</v>
      </c>
      <c r="H43" s="62">
        <v>7.5053655618778234E-2</v>
      </c>
      <c r="I43" s="62" t="s">
        <v>1908</v>
      </c>
      <c r="J43" s="62">
        <v>0.44506609895016175</v>
      </c>
      <c r="K43" s="62" t="s">
        <v>1908</v>
      </c>
      <c r="L43" s="62">
        <v>4.670258223738212E-2</v>
      </c>
      <c r="M43" s="62" t="s">
        <v>1808</v>
      </c>
      <c r="N43" s="62">
        <v>2.6828033849367951E-4</v>
      </c>
      <c r="O43" s="62" t="s">
        <v>1908</v>
      </c>
      <c r="P43" s="62" t="s">
        <v>1907</v>
      </c>
      <c r="Q43" s="62" t="s">
        <v>1808</v>
      </c>
      <c r="R43" s="62">
        <v>1.2224346704108767E-2</v>
      </c>
      <c r="S43" s="62" t="s">
        <v>1807</v>
      </c>
      <c r="T43" s="54">
        <v>2.4240327333858483E-5</v>
      </c>
      <c r="U43" s="62" t="s">
        <v>1908</v>
      </c>
      <c r="V43" s="54">
        <v>6.4141823981019863E-2</v>
      </c>
      <c r="W43" s="10" t="s">
        <v>1908</v>
      </c>
    </row>
    <row r="44" spans="2:23" ht="25.2" customHeight="1" x14ac:dyDescent="0.25">
      <c r="B44" s="16" t="s">
        <v>1345</v>
      </c>
      <c r="C44" s="18">
        <v>300</v>
      </c>
      <c r="D44" s="62">
        <v>0.40024680022171621</v>
      </c>
      <c r="E44" s="62" t="s">
        <v>1807</v>
      </c>
      <c r="F44" s="62">
        <v>2.9257421385910898</v>
      </c>
      <c r="G44" s="62" t="s">
        <v>1808</v>
      </c>
      <c r="H44" s="62">
        <v>0.82713691854822302</v>
      </c>
      <c r="I44" s="62" t="s">
        <v>1808</v>
      </c>
      <c r="J44" s="62">
        <v>0.53479431520648346</v>
      </c>
      <c r="K44" s="62" t="s">
        <v>1908</v>
      </c>
      <c r="L44" s="62">
        <v>5.8651394368796135E-2</v>
      </c>
      <c r="M44" s="62" t="s">
        <v>1808</v>
      </c>
      <c r="N44" s="62" t="s">
        <v>1907</v>
      </c>
      <c r="O44" s="62" t="s">
        <v>1808</v>
      </c>
      <c r="P44" s="62" t="s">
        <v>1907</v>
      </c>
      <c r="Q44" s="62" t="s">
        <v>1808</v>
      </c>
      <c r="R44" s="62">
        <v>1.990248325278772E-2</v>
      </c>
      <c r="S44" s="62" t="s">
        <v>1807</v>
      </c>
      <c r="T44" s="54" t="s">
        <v>1907</v>
      </c>
      <c r="U44" s="62" t="s">
        <v>1808</v>
      </c>
      <c r="V44" s="54">
        <v>0.19556974325302443</v>
      </c>
      <c r="W44" s="10" t="s">
        <v>1807</v>
      </c>
    </row>
    <row r="45" spans="2:23" ht="25.2" customHeight="1" x14ac:dyDescent="0.25">
      <c r="B45" s="16" t="s">
        <v>1345</v>
      </c>
      <c r="C45" s="18">
        <v>400</v>
      </c>
      <c r="D45" s="62">
        <v>0.75553172145940484</v>
      </c>
      <c r="E45" s="62" t="s">
        <v>1808</v>
      </c>
      <c r="F45" s="62">
        <v>4.1378390640366023</v>
      </c>
      <c r="G45" s="62" t="s">
        <v>1808</v>
      </c>
      <c r="H45" s="62" t="s">
        <v>1907</v>
      </c>
      <c r="I45" s="62" t="s">
        <v>1808</v>
      </c>
      <c r="J45" s="62">
        <v>0.16639403946053619</v>
      </c>
      <c r="K45" s="62" t="s">
        <v>1908</v>
      </c>
      <c r="L45" s="62">
        <v>5.7541774675123003E-2</v>
      </c>
      <c r="M45" s="62" t="s">
        <v>1808</v>
      </c>
      <c r="N45" s="62" t="s">
        <v>1907</v>
      </c>
      <c r="O45" s="62" t="s">
        <v>1808</v>
      </c>
      <c r="P45" s="62" t="s">
        <v>1907</v>
      </c>
      <c r="Q45" s="62" t="s">
        <v>1808</v>
      </c>
      <c r="R45" s="62">
        <v>1.9558119252344484E-2</v>
      </c>
      <c r="S45" s="62" t="s">
        <v>1807</v>
      </c>
      <c r="T45" s="54" t="s">
        <v>1907</v>
      </c>
      <c r="U45" s="62" t="s">
        <v>1808</v>
      </c>
      <c r="V45" s="54" t="s">
        <v>1907</v>
      </c>
      <c r="W45" s="10" t="s">
        <v>1808</v>
      </c>
    </row>
    <row r="46" spans="2:23" ht="25.2" customHeight="1" x14ac:dyDescent="0.25">
      <c r="B46" s="16" t="s">
        <v>1345</v>
      </c>
      <c r="C46" s="17">
        <v>500</v>
      </c>
      <c r="D46" s="62">
        <v>1.3575781397784372</v>
      </c>
      <c r="E46" s="62" t="s">
        <v>1808</v>
      </c>
      <c r="F46" s="62">
        <v>6.9355164573667327</v>
      </c>
      <c r="G46" s="62" t="s">
        <v>1808</v>
      </c>
      <c r="H46" s="62">
        <v>2.0676949179414737E-2</v>
      </c>
      <c r="I46" s="62" t="s">
        <v>1908</v>
      </c>
      <c r="J46" s="62">
        <v>0.43775941929215018</v>
      </c>
      <c r="K46" s="62" t="s">
        <v>1908</v>
      </c>
      <c r="L46" s="62">
        <v>6.3110844380775785E-2</v>
      </c>
      <c r="M46" s="62" t="s">
        <v>1808</v>
      </c>
      <c r="N46" s="62">
        <v>6.3133256771044795E-4</v>
      </c>
      <c r="O46" s="62" t="s">
        <v>1908</v>
      </c>
      <c r="P46" s="62" t="s">
        <v>1907</v>
      </c>
      <c r="Q46" s="62" t="s">
        <v>1808</v>
      </c>
      <c r="R46" s="62">
        <v>3.2187397966401562E-2</v>
      </c>
      <c r="S46" s="62" t="s">
        <v>1808</v>
      </c>
      <c r="T46" s="54" t="s">
        <v>1907</v>
      </c>
      <c r="U46" s="62" t="s">
        <v>1808</v>
      </c>
      <c r="V46" s="54" t="s">
        <v>1907</v>
      </c>
      <c r="W46" s="10" t="s">
        <v>1808</v>
      </c>
    </row>
    <row r="47" spans="2:23" ht="25.2" customHeight="1" x14ac:dyDescent="0.25">
      <c r="B47" s="16" t="s">
        <v>1346</v>
      </c>
      <c r="C47" s="18">
        <v>100</v>
      </c>
      <c r="D47" s="62">
        <v>0.50432747964687275</v>
      </c>
      <c r="E47" s="62" t="s">
        <v>1807</v>
      </c>
      <c r="F47" s="62">
        <v>3.1131744269283259</v>
      </c>
      <c r="G47" s="62" t="s">
        <v>1808</v>
      </c>
      <c r="H47" s="62">
        <v>3.2456330833216689E-2</v>
      </c>
      <c r="I47" s="62" t="s">
        <v>1908</v>
      </c>
      <c r="J47" s="62">
        <v>0.43555503529738671</v>
      </c>
      <c r="K47" s="62" t="s">
        <v>1908</v>
      </c>
      <c r="L47" s="62">
        <v>6.9366159852652695E-2</v>
      </c>
      <c r="M47" s="62" t="s">
        <v>1808</v>
      </c>
      <c r="N47" s="62" t="s">
        <v>1907</v>
      </c>
      <c r="O47" s="62" t="s">
        <v>1808</v>
      </c>
      <c r="P47" s="62" t="s">
        <v>1907</v>
      </c>
      <c r="Q47" s="62" t="s">
        <v>1808</v>
      </c>
      <c r="R47" s="62">
        <v>2.0120559911015141E-2</v>
      </c>
      <c r="S47" s="62" t="s">
        <v>1807</v>
      </c>
      <c r="T47" s="54">
        <v>3.235393094577111E-4</v>
      </c>
      <c r="U47" s="62" t="s">
        <v>1908</v>
      </c>
      <c r="V47" s="54">
        <v>4.4952082335236565E-2</v>
      </c>
      <c r="W47" s="10" t="s">
        <v>1908</v>
      </c>
    </row>
    <row r="48" spans="2:23" ht="25.2" customHeight="1" x14ac:dyDescent="0.25">
      <c r="B48" s="16" t="s">
        <v>1346</v>
      </c>
      <c r="C48" s="17">
        <v>200</v>
      </c>
      <c r="D48" s="62">
        <v>0.74357080111252805</v>
      </c>
      <c r="E48" s="62" t="s">
        <v>1808</v>
      </c>
      <c r="F48" s="62">
        <v>5.1682037332194781</v>
      </c>
      <c r="G48" s="62" t="s">
        <v>1808</v>
      </c>
      <c r="H48" s="62">
        <v>0.21425830708608143</v>
      </c>
      <c r="I48" s="62" t="s">
        <v>1807</v>
      </c>
      <c r="J48" s="62">
        <v>1.2291643865022688</v>
      </c>
      <c r="K48" s="62" t="s">
        <v>1807</v>
      </c>
      <c r="L48" s="62">
        <v>8.0855803679850832E-2</v>
      </c>
      <c r="M48" s="62" t="s">
        <v>1808</v>
      </c>
      <c r="N48" s="62">
        <v>2.0522516292259099E-4</v>
      </c>
      <c r="O48" s="62" t="s">
        <v>1908</v>
      </c>
      <c r="P48" s="62">
        <v>0.42108175875898884</v>
      </c>
      <c r="Q48" s="62" t="s">
        <v>1908</v>
      </c>
      <c r="R48" s="62">
        <v>3.4555060815762692E-2</v>
      </c>
      <c r="S48" s="62" t="s">
        <v>1807</v>
      </c>
      <c r="T48" s="54">
        <v>1.738648707056063E-3</v>
      </c>
      <c r="U48" s="62" t="s">
        <v>1908</v>
      </c>
      <c r="V48" s="54">
        <v>0.10766732592186172</v>
      </c>
      <c r="W48" s="10" t="s">
        <v>1908</v>
      </c>
    </row>
    <row r="49" spans="2:23" ht="25.2" customHeight="1" x14ac:dyDescent="0.25">
      <c r="B49" s="16" t="s">
        <v>1346</v>
      </c>
      <c r="C49" s="18">
        <v>300</v>
      </c>
      <c r="D49" s="62">
        <v>0.53930863905755311</v>
      </c>
      <c r="E49" s="62" t="s">
        <v>1807</v>
      </c>
      <c r="F49" s="62">
        <v>4.2492700231234419</v>
      </c>
      <c r="G49" s="62" t="s">
        <v>1808</v>
      </c>
      <c r="H49" s="62">
        <v>0.18738607363125032</v>
      </c>
      <c r="I49" s="62" t="s">
        <v>1908</v>
      </c>
      <c r="J49" s="62">
        <v>0.52894146741185422</v>
      </c>
      <c r="K49" s="62" t="s">
        <v>1908</v>
      </c>
      <c r="L49" s="62">
        <v>6.3439646052468796E-2</v>
      </c>
      <c r="M49" s="62" t="s">
        <v>1808</v>
      </c>
      <c r="N49" s="62">
        <v>1.0300568790814219E-3</v>
      </c>
      <c r="O49" s="62" t="s">
        <v>1908</v>
      </c>
      <c r="P49" s="62">
        <v>0.10081995588412794</v>
      </c>
      <c r="Q49" s="62" t="s">
        <v>1908</v>
      </c>
      <c r="R49" s="62">
        <v>2.8176705320310805E-2</v>
      </c>
      <c r="S49" s="62" t="s">
        <v>1807</v>
      </c>
      <c r="T49" s="54">
        <v>1.5332202093637512E-4</v>
      </c>
      <c r="U49" s="62" t="s">
        <v>1908</v>
      </c>
      <c r="V49" s="54">
        <v>2.9642573249872947E-2</v>
      </c>
      <c r="W49" s="10" t="s">
        <v>1908</v>
      </c>
    </row>
    <row r="50" spans="2:23" ht="25.2" customHeight="1" x14ac:dyDescent="0.25">
      <c r="B50" s="16" t="s">
        <v>1346</v>
      </c>
      <c r="C50" s="18">
        <v>400</v>
      </c>
      <c r="D50" s="62">
        <v>0.69181854697834932</v>
      </c>
      <c r="E50" s="62" t="s">
        <v>1807</v>
      </c>
      <c r="F50" s="62">
        <v>5.324344272895936</v>
      </c>
      <c r="G50" s="62" t="s">
        <v>1808</v>
      </c>
      <c r="H50" s="62">
        <v>0.19420778687662851</v>
      </c>
      <c r="I50" s="62" t="s">
        <v>1908</v>
      </c>
      <c r="J50" s="62">
        <v>1.0749978398656117</v>
      </c>
      <c r="K50" s="62" t="s">
        <v>1807</v>
      </c>
      <c r="L50" s="62">
        <v>8.3332006492921024E-2</v>
      </c>
      <c r="M50" s="62" t="s">
        <v>1808</v>
      </c>
      <c r="N50" s="62">
        <v>1.5022584400745779E-4</v>
      </c>
      <c r="O50" s="62" t="s">
        <v>1908</v>
      </c>
      <c r="P50" s="62" t="s">
        <v>1907</v>
      </c>
      <c r="Q50" s="62" t="s">
        <v>1808</v>
      </c>
      <c r="R50" s="62">
        <v>3.4386808317133651E-2</v>
      </c>
      <c r="S50" s="62" t="s">
        <v>1807</v>
      </c>
      <c r="T50" s="54">
        <v>1.0945703048357246E-3</v>
      </c>
      <c r="U50" s="62" t="s">
        <v>1908</v>
      </c>
      <c r="V50" s="54">
        <v>9.0474390747878872E-2</v>
      </c>
      <c r="W50" s="10" t="s">
        <v>1908</v>
      </c>
    </row>
    <row r="51" spans="2:23" ht="25.2" customHeight="1" x14ac:dyDescent="0.25">
      <c r="B51" s="16" t="s">
        <v>1346</v>
      </c>
      <c r="C51" s="17">
        <v>500</v>
      </c>
      <c r="D51" s="62">
        <v>0.93058973386704258</v>
      </c>
      <c r="E51" s="62" t="s">
        <v>1808</v>
      </c>
      <c r="F51" s="62">
        <v>5.9415121209789623</v>
      </c>
      <c r="G51" s="62" t="s">
        <v>1808</v>
      </c>
      <c r="H51" s="62">
        <v>0.38777616457064301</v>
      </c>
      <c r="I51" s="62" t="s">
        <v>1807</v>
      </c>
      <c r="J51" s="62">
        <v>0.93945525140643715</v>
      </c>
      <c r="K51" s="62" t="s">
        <v>1807</v>
      </c>
      <c r="L51" s="62">
        <v>6.935659222933066E-2</v>
      </c>
      <c r="M51" s="62" t="s">
        <v>1808</v>
      </c>
      <c r="N51" s="62">
        <v>5.6912879034704108E-4</v>
      </c>
      <c r="O51" s="62" t="s">
        <v>1908</v>
      </c>
      <c r="P51" s="62">
        <v>0.30935034440772941</v>
      </c>
      <c r="Q51" s="62" t="s">
        <v>1908</v>
      </c>
      <c r="R51" s="62">
        <v>3.481616297063634E-2</v>
      </c>
      <c r="S51" s="62" t="s">
        <v>1807</v>
      </c>
      <c r="T51" s="54">
        <v>1.418075436584507E-4</v>
      </c>
      <c r="U51" s="62" t="s">
        <v>1908</v>
      </c>
      <c r="V51" s="54">
        <v>0.13248126525825854</v>
      </c>
      <c r="W51" s="10" t="s">
        <v>1908</v>
      </c>
    </row>
    <row r="52" spans="2:23" ht="25.2" customHeight="1" x14ac:dyDescent="0.25">
      <c r="B52" s="16" t="s">
        <v>1021</v>
      </c>
      <c r="C52" s="18">
        <v>100</v>
      </c>
      <c r="D52" s="62">
        <v>1.3568219980575114</v>
      </c>
      <c r="E52" s="62" t="s">
        <v>1808</v>
      </c>
      <c r="F52" s="62">
        <v>6.223628226691484</v>
      </c>
      <c r="G52" s="62" t="s">
        <v>1808</v>
      </c>
      <c r="H52" s="62">
        <v>0.19326002151975594</v>
      </c>
      <c r="I52" s="62" t="s">
        <v>1908</v>
      </c>
      <c r="J52" s="62">
        <v>0.73383012452237728</v>
      </c>
      <c r="K52" s="62" t="s">
        <v>1908</v>
      </c>
      <c r="L52" s="62">
        <v>8.475067241038239E-3</v>
      </c>
      <c r="M52" s="62" t="s">
        <v>1807</v>
      </c>
      <c r="N52" s="62" t="s">
        <v>1907</v>
      </c>
      <c r="O52" s="62" t="s">
        <v>1808</v>
      </c>
      <c r="P52" s="62">
        <v>2.5456696004610462E-2</v>
      </c>
      <c r="Q52" s="62" t="s">
        <v>1908</v>
      </c>
      <c r="R52" s="62">
        <v>0.82709252220808582</v>
      </c>
      <c r="S52" s="62" t="s">
        <v>1808</v>
      </c>
      <c r="T52" s="54">
        <v>7.4877743993363385E-5</v>
      </c>
      <c r="U52" s="62" t="s">
        <v>1908</v>
      </c>
      <c r="V52" s="54">
        <v>0.12687487120081695</v>
      </c>
      <c r="W52" s="10" t="s">
        <v>1908</v>
      </c>
    </row>
    <row r="53" spans="2:23" ht="25.2" customHeight="1" x14ac:dyDescent="0.25">
      <c r="B53" s="16" t="s">
        <v>1021</v>
      </c>
      <c r="C53" s="17">
        <v>200</v>
      </c>
      <c r="D53" s="62">
        <v>3.0219026830776987</v>
      </c>
      <c r="E53" s="62" t="s">
        <v>1808</v>
      </c>
      <c r="F53" s="62">
        <v>13.692027134566214</v>
      </c>
      <c r="G53" s="62" t="s">
        <v>1808</v>
      </c>
      <c r="H53" s="62">
        <v>0.15593109878945335</v>
      </c>
      <c r="I53" s="62" t="s">
        <v>1908</v>
      </c>
      <c r="J53" s="62">
        <v>0.61120719504217624</v>
      </c>
      <c r="K53" s="62" t="s">
        <v>1908</v>
      </c>
      <c r="L53" s="62">
        <v>7.2733775088856117E-3</v>
      </c>
      <c r="M53" s="62" t="s">
        <v>1807</v>
      </c>
      <c r="N53" s="62" t="s">
        <v>1907</v>
      </c>
      <c r="O53" s="62" t="s">
        <v>1808</v>
      </c>
      <c r="P53" s="62">
        <v>2.5388807703609444E-2</v>
      </c>
      <c r="Q53" s="62" t="s">
        <v>1908</v>
      </c>
      <c r="R53" s="62">
        <v>1.0626289004121847</v>
      </c>
      <c r="S53" s="62" t="s">
        <v>1808</v>
      </c>
      <c r="T53" s="54" t="s">
        <v>1907</v>
      </c>
      <c r="U53" s="62" t="s">
        <v>1808</v>
      </c>
      <c r="V53" s="54">
        <v>5.7605730967960095E-2</v>
      </c>
      <c r="W53" s="10" t="s">
        <v>1908</v>
      </c>
    </row>
    <row r="54" spans="2:23" ht="25.2" customHeight="1" x14ac:dyDescent="0.25">
      <c r="B54" s="16" t="s">
        <v>1021</v>
      </c>
      <c r="C54" s="18">
        <v>300</v>
      </c>
      <c r="D54" s="62">
        <v>2.0319160006702033</v>
      </c>
      <c r="E54" s="62" t="s">
        <v>1808</v>
      </c>
      <c r="F54" s="62">
        <v>9.9934810741947953</v>
      </c>
      <c r="G54" s="62" t="s">
        <v>1808</v>
      </c>
      <c r="H54" s="62">
        <v>6.9156108320023904E-2</v>
      </c>
      <c r="I54" s="62" t="s">
        <v>1908</v>
      </c>
      <c r="J54" s="62">
        <v>0.60320749049338063</v>
      </c>
      <c r="K54" s="62" t="s">
        <v>1908</v>
      </c>
      <c r="L54" s="62">
        <v>7.2665275245167712E-3</v>
      </c>
      <c r="M54" s="62" t="s">
        <v>1807</v>
      </c>
      <c r="N54" s="62" t="s">
        <v>1907</v>
      </c>
      <c r="O54" s="62" t="s">
        <v>1808</v>
      </c>
      <c r="P54" s="62">
        <v>4.1112762234664368E-2</v>
      </c>
      <c r="Q54" s="62" t="s">
        <v>1908</v>
      </c>
      <c r="R54" s="62">
        <v>1.0121892312082568</v>
      </c>
      <c r="S54" s="62" t="s">
        <v>1808</v>
      </c>
      <c r="T54" s="54">
        <v>1.7643828174728455E-4</v>
      </c>
      <c r="U54" s="62" t="s">
        <v>1908</v>
      </c>
      <c r="V54" s="54">
        <v>0.1533602620345271</v>
      </c>
      <c r="W54" s="10" t="s">
        <v>1908</v>
      </c>
    </row>
    <row r="55" spans="2:23" ht="25.2" customHeight="1" x14ac:dyDescent="0.25">
      <c r="B55" s="16" t="s">
        <v>1021</v>
      </c>
      <c r="C55" s="18">
        <v>400</v>
      </c>
      <c r="D55" s="62">
        <v>0.73508648808746091</v>
      </c>
      <c r="E55" s="62" t="s">
        <v>1808</v>
      </c>
      <c r="F55" s="62">
        <v>4.9986064887804682</v>
      </c>
      <c r="G55" s="62" t="s">
        <v>1808</v>
      </c>
      <c r="H55" s="62">
        <v>4.1658804357234319E-2</v>
      </c>
      <c r="I55" s="62" t="s">
        <v>1908</v>
      </c>
      <c r="J55" s="62">
        <v>1.3195863581399421</v>
      </c>
      <c r="K55" s="62" t="s">
        <v>1807</v>
      </c>
      <c r="L55" s="62">
        <v>5.2882098098584896E-3</v>
      </c>
      <c r="M55" s="62" t="s">
        <v>1807</v>
      </c>
      <c r="N55" s="62">
        <v>4.6016462301684622E-4</v>
      </c>
      <c r="O55" s="62" t="s">
        <v>1908</v>
      </c>
      <c r="P55" s="62" t="s">
        <v>1907</v>
      </c>
      <c r="Q55" s="62" t="s">
        <v>1808</v>
      </c>
      <c r="R55" s="62">
        <v>1.1553009579018994</v>
      </c>
      <c r="S55" s="62" t="s">
        <v>1808</v>
      </c>
      <c r="T55" s="54">
        <v>1.3411240728660847E-4</v>
      </c>
      <c r="U55" s="62" t="s">
        <v>1908</v>
      </c>
      <c r="V55" s="54" t="s">
        <v>1907</v>
      </c>
      <c r="W55" s="10" t="s">
        <v>1808</v>
      </c>
    </row>
    <row r="56" spans="2:23" ht="25.2" customHeight="1" x14ac:dyDescent="0.25">
      <c r="B56" s="16" t="s">
        <v>1021</v>
      </c>
      <c r="C56" s="17">
        <v>500</v>
      </c>
      <c r="D56" s="62">
        <v>0.8381756502786375</v>
      </c>
      <c r="E56" s="62" t="s">
        <v>1808</v>
      </c>
      <c r="F56" s="62">
        <v>6.8366288212176638</v>
      </c>
      <c r="G56" s="62" t="s">
        <v>1808</v>
      </c>
      <c r="H56" s="62">
        <v>0.18385049941667608</v>
      </c>
      <c r="I56" s="62" t="s">
        <v>1807</v>
      </c>
      <c r="J56" s="62">
        <v>3.3414321036895349</v>
      </c>
      <c r="K56" s="62" t="s">
        <v>1808</v>
      </c>
      <c r="L56" s="62">
        <v>5.7420079567567176E-3</v>
      </c>
      <c r="M56" s="62" t="s">
        <v>1807</v>
      </c>
      <c r="N56" s="62">
        <v>7.0767404431490341E-5</v>
      </c>
      <c r="O56" s="62" t="s">
        <v>1908</v>
      </c>
      <c r="P56" s="62">
        <v>1.1722676012129663E-2</v>
      </c>
      <c r="Q56" s="62" t="s">
        <v>1908</v>
      </c>
      <c r="R56" s="62">
        <v>1.7794663173568963</v>
      </c>
      <c r="S56" s="62" t="s">
        <v>1808</v>
      </c>
      <c r="T56" s="54">
        <v>3.3400375391136718E-4</v>
      </c>
      <c r="U56" s="62" t="s">
        <v>1908</v>
      </c>
      <c r="V56" s="54" t="s">
        <v>1907</v>
      </c>
      <c r="W56" s="10" t="s">
        <v>1808</v>
      </c>
    </row>
    <row r="57" spans="2:23" ht="25.2" customHeight="1" x14ac:dyDescent="0.25">
      <c r="B57" s="16" t="s">
        <v>1022</v>
      </c>
      <c r="C57" s="18">
        <v>100</v>
      </c>
      <c r="D57" s="62">
        <v>0.87326273333303506</v>
      </c>
      <c r="E57" s="62" t="s">
        <v>1808</v>
      </c>
      <c r="F57" s="62">
        <v>3.2586458039175756</v>
      </c>
      <c r="G57" s="62" t="s">
        <v>1808</v>
      </c>
      <c r="H57" s="62">
        <v>0.16755201722665081</v>
      </c>
      <c r="I57" s="62" t="s">
        <v>1908</v>
      </c>
      <c r="J57" s="62">
        <v>1.0438121315601852</v>
      </c>
      <c r="K57" s="62" t="s">
        <v>1807</v>
      </c>
      <c r="L57" s="62">
        <v>1.1620434680554508E-2</v>
      </c>
      <c r="M57" s="62" t="s">
        <v>1807</v>
      </c>
      <c r="N57" s="62">
        <v>6.7581567567276261E-4</v>
      </c>
      <c r="O57" s="62" t="s">
        <v>1908</v>
      </c>
      <c r="P57" s="62">
        <v>0.67436436196232985</v>
      </c>
      <c r="Q57" s="62" t="s">
        <v>1807</v>
      </c>
      <c r="R57" s="62">
        <v>7.4856944309999616E-3</v>
      </c>
      <c r="S57" s="62" t="s">
        <v>1908</v>
      </c>
      <c r="T57" s="54">
        <v>9.060422299818539E-4</v>
      </c>
      <c r="U57" s="62" t="s">
        <v>1908</v>
      </c>
      <c r="V57" s="54">
        <v>4.7453647151224819E-2</v>
      </c>
      <c r="W57" s="10" t="s">
        <v>1908</v>
      </c>
    </row>
    <row r="58" spans="2:23" ht="25.2" customHeight="1" x14ac:dyDescent="0.25">
      <c r="B58" s="16" t="s">
        <v>1022</v>
      </c>
      <c r="C58" s="17">
        <v>200</v>
      </c>
      <c r="D58" s="62">
        <v>0.84518927258373655</v>
      </c>
      <c r="E58" s="62" t="s">
        <v>1808</v>
      </c>
      <c r="F58" s="62">
        <v>3.8810555570750647</v>
      </c>
      <c r="G58" s="62" t="s">
        <v>1808</v>
      </c>
      <c r="H58" s="62">
        <v>0.18400704414784128</v>
      </c>
      <c r="I58" s="62" t="s">
        <v>1908</v>
      </c>
      <c r="J58" s="62">
        <v>1.5934019541209445</v>
      </c>
      <c r="K58" s="62" t="s">
        <v>1807</v>
      </c>
      <c r="L58" s="62">
        <v>1.3194541322505872E-2</v>
      </c>
      <c r="M58" s="62" t="s">
        <v>1808</v>
      </c>
      <c r="N58" s="62" t="s">
        <v>1907</v>
      </c>
      <c r="O58" s="62" t="s">
        <v>1808</v>
      </c>
      <c r="P58" s="62">
        <v>5.1749678695333E-2</v>
      </c>
      <c r="Q58" s="62" t="s">
        <v>1908</v>
      </c>
      <c r="R58" s="62">
        <v>6.6689224243955342E-3</v>
      </c>
      <c r="S58" s="62" t="s">
        <v>1908</v>
      </c>
      <c r="T58" s="54">
        <v>1.2693098845557636E-3</v>
      </c>
      <c r="U58" s="62" t="s">
        <v>1908</v>
      </c>
      <c r="V58" s="54">
        <v>4.6346172063058515E-2</v>
      </c>
      <c r="W58" s="10" t="s">
        <v>1908</v>
      </c>
    </row>
    <row r="59" spans="2:23" ht="25.2" customHeight="1" x14ac:dyDescent="0.25">
      <c r="B59" s="16" t="s">
        <v>1022</v>
      </c>
      <c r="C59" s="18">
        <v>300</v>
      </c>
      <c r="D59" s="62">
        <v>1.7693273861004295</v>
      </c>
      <c r="E59" s="62" t="s">
        <v>1808</v>
      </c>
      <c r="F59" s="62">
        <v>8.0010519080208198</v>
      </c>
      <c r="G59" s="62" t="s">
        <v>1808</v>
      </c>
      <c r="H59" s="62">
        <v>0.22695692399238412</v>
      </c>
      <c r="I59" s="62" t="s">
        <v>1807</v>
      </c>
      <c r="J59" s="62">
        <v>0.73216403083237747</v>
      </c>
      <c r="K59" s="62" t="s">
        <v>1908</v>
      </c>
      <c r="L59" s="62">
        <v>1.3886696693408414E-2</v>
      </c>
      <c r="M59" s="62" t="s">
        <v>1808</v>
      </c>
      <c r="N59" s="62">
        <v>9.1768325893263296E-5</v>
      </c>
      <c r="O59" s="62" t="s">
        <v>1908</v>
      </c>
      <c r="P59" s="62">
        <v>6.8582831567782193E-2</v>
      </c>
      <c r="Q59" s="62" t="s">
        <v>1908</v>
      </c>
      <c r="R59" s="62">
        <v>9.8673759046501944E-3</v>
      </c>
      <c r="S59" s="62" t="s">
        <v>1908</v>
      </c>
      <c r="T59" s="54">
        <v>7.896809643133841E-4</v>
      </c>
      <c r="U59" s="62" t="s">
        <v>1908</v>
      </c>
      <c r="V59" s="54">
        <v>6.2233944314065488E-2</v>
      </c>
      <c r="W59" s="10" t="s">
        <v>1908</v>
      </c>
    </row>
    <row r="60" spans="2:23" ht="25.2" customHeight="1" x14ac:dyDescent="0.25">
      <c r="B60" s="16" t="s">
        <v>1022</v>
      </c>
      <c r="C60" s="18">
        <v>400</v>
      </c>
      <c r="D60" s="62">
        <v>1.4721512647960859</v>
      </c>
      <c r="E60" s="62" t="s">
        <v>1808</v>
      </c>
      <c r="F60" s="62">
        <v>7.0036186358216215</v>
      </c>
      <c r="G60" s="62" t="s">
        <v>1808</v>
      </c>
      <c r="H60" s="62">
        <v>0.30547637907332997</v>
      </c>
      <c r="I60" s="62" t="s">
        <v>1807</v>
      </c>
      <c r="J60" s="62">
        <v>1.0657481499699202</v>
      </c>
      <c r="K60" s="62" t="s">
        <v>1807</v>
      </c>
      <c r="L60" s="62">
        <v>1.4996685319787697E-2</v>
      </c>
      <c r="M60" s="62" t="s">
        <v>1808</v>
      </c>
      <c r="N60" s="62">
        <v>3.033487703259436E-4</v>
      </c>
      <c r="O60" s="62" t="s">
        <v>1908</v>
      </c>
      <c r="P60" s="62">
        <v>0.15792703617982978</v>
      </c>
      <c r="Q60" s="62" t="s">
        <v>1908</v>
      </c>
      <c r="R60" s="62">
        <v>1.0706146068231387E-2</v>
      </c>
      <c r="S60" s="62" t="s">
        <v>1908</v>
      </c>
      <c r="T60" s="54">
        <v>7.0841203401917924E-4</v>
      </c>
      <c r="U60" s="62" t="s">
        <v>1908</v>
      </c>
      <c r="V60" s="54">
        <v>0.13668838693629887</v>
      </c>
      <c r="W60" s="10" t="s">
        <v>1908</v>
      </c>
    </row>
    <row r="61" spans="2:23" ht="25.2" customHeight="1" x14ac:dyDescent="0.25">
      <c r="B61" s="16" t="s">
        <v>1022</v>
      </c>
      <c r="C61" s="17">
        <v>500</v>
      </c>
      <c r="D61" s="62">
        <v>1.3740257266023728</v>
      </c>
      <c r="E61" s="62" t="s">
        <v>1808</v>
      </c>
      <c r="F61" s="62">
        <v>6.8809624987201037</v>
      </c>
      <c r="G61" s="62" t="s">
        <v>1808</v>
      </c>
      <c r="H61" s="62">
        <v>0.84296789181485532</v>
      </c>
      <c r="I61" s="62" t="s">
        <v>1808</v>
      </c>
      <c r="J61" s="62">
        <v>2.4916097325367943</v>
      </c>
      <c r="K61" s="62" t="s">
        <v>1807</v>
      </c>
      <c r="L61" s="62">
        <v>1.313317105494405E-2</v>
      </c>
      <c r="M61" s="62" t="s">
        <v>1808</v>
      </c>
      <c r="N61" s="62">
        <v>1.4827561465081867E-4</v>
      </c>
      <c r="O61" s="62" t="s">
        <v>1908</v>
      </c>
      <c r="P61" s="62">
        <v>8.0924273617601059E-2</v>
      </c>
      <c r="Q61" s="62" t="s">
        <v>1908</v>
      </c>
      <c r="R61" s="62">
        <v>1.0855342374678546E-2</v>
      </c>
      <c r="S61" s="62" t="s">
        <v>1908</v>
      </c>
      <c r="T61" s="54">
        <v>1.7074744658320026E-3</v>
      </c>
      <c r="U61" s="62" t="s">
        <v>1908</v>
      </c>
      <c r="V61" s="54">
        <v>0.36616673209965472</v>
      </c>
      <c r="W61" s="10" t="s">
        <v>1807</v>
      </c>
    </row>
    <row r="62" spans="2:23" ht="25.2" customHeight="1" x14ac:dyDescent="0.25">
      <c r="B62" s="16" t="s">
        <v>1023</v>
      </c>
      <c r="C62" s="18">
        <v>100</v>
      </c>
      <c r="D62" s="62">
        <v>0.57726784961562128</v>
      </c>
      <c r="E62" s="62" t="s">
        <v>1807</v>
      </c>
      <c r="F62" s="62">
        <v>2.6954114267126519</v>
      </c>
      <c r="G62" s="62" t="s">
        <v>1808</v>
      </c>
      <c r="H62" s="62">
        <v>4.8083928941392484</v>
      </c>
      <c r="I62" s="62" t="s">
        <v>1808</v>
      </c>
      <c r="J62" s="62">
        <v>4.8661905101826992</v>
      </c>
      <c r="K62" s="62" t="s">
        <v>1808</v>
      </c>
      <c r="L62" s="62">
        <v>1.0761632038934871E-2</v>
      </c>
      <c r="M62" s="62" t="s">
        <v>1807</v>
      </c>
      <c r="N62" s="62">
        <v>2.5544310471468214E-3</v>
      </c>
      <c r="O62" s="62" t="s">
        <v>1807</v>
      </c>
      <c r="P62" s="62">
        <v>0.51943532173807949</v>
      </c>
      <c r="Q62" s="62" t="s">
        <v>1807</v>
      </c>
      <c r="R62" s="62">
        <v>2.3240356906364383E-2</v>
      </c>
      <c r="S62" s="62" t="s">
        <v>1807</v>
      </c>
      <c r="T62" s="54">
        <v>2.5602899256551223E-3</v>
      </c>
      <c r="U62" s="62" t="s">
        <v>1908</v>
      </c>
      <c r="V62" s="54">
        <v>1.8965159297360137</v>
      </c>
      <c r="W62" s="10" t="s">
        <v>1808</v>
      </c>
    </row>
    <row r="63" spans="2:23" ht="25.2" customHeight="1" x14ac:dyDescent="0.25">
      <c r="B63" s="16" t="s">
        <v>1023</v>
      </c>
      <c r="C63" s="17">
        <v>200</v>
      </c>
      <c r="D63" s="62">
        <v>1.2965335000457636</v>
      </c>
      <c r="E63" s="62" t="s">
        <v>1808</v>
      </c>
      <c r="F63" s="62">
        <v>6.5348507920944785</v>
      </c>
      <c r="G63" s="62" t="s">
        <v>1808</v>
      </c>
      <c r="H63" s="62">
        <v>9.7062965918617544E-2</v>
      </c>
      <c r="I63" s="62" t="s">
        <v>1908</v>
      </c>
      <c r="J63" s="62">
        <v>0.84102981950588496</v>
      </c>
      <c r="K63" s="62" t="s">
        <v>1807</v>
      </c>
      <c r="L63" s="62">
        <v>1.1217992981915267E-2</v>
      </c>
      <c r="M63" s="62" t="s">
        <v>1807</v>
      </c>
      <c r="N63" s="62">
        <v>8.4938252862336842E-5</v>
      </c>
      <c r="O63" s="62" t="s">
        <v>1908</v>
      </c>
      <c r="P63" s="62">
        <v>0.1424928300389614</v>
      </c>
      <c r="Q63" s="62" t="s">
        <v>1908</v>
      </c>
      <c r="R63" s="62">
        <v>3.3909428527535729E-2</v>
      </c>
      <c r="S63" s="62" t="s">
        <v>1807</v>
      </c>
      <c r="T63" s="54">
        <v>8.5567464522596105E-4</v>
      </c>
      <c r="U63" s="62" t="s">
        <v>1908</v>
      </c>
      <c r="V63" s="54">
        <v>2.0771710355184617E-2</v>
      </c>
      <c r="W63" s="10" t="s">
        <v>1908</v>
      </c>
    </row>
    <row r="64" spans="2:23" ht="25.2" customHeight="1" x14ac:dyDescent="0.25">
      <c r="B64" s="16" t="s">
        <v>1023</v>
      </c>
      <c r="C64" s="18">
        <v>300</v>
      </c>
      <c r="D64" s="62">
        <v>2.0840666545267341</v>
      </c>
      <c r="E64" s="62" t="s">
        <v>1808</v>
      </c>
      <c r="F64" s="62">
        <v>10.266645833328209</v>
      </c>
      <c r="G64" s="62" t="s">
        <v>1808</v>
      </c>
      <c r="H64" s="62">
        <v>0.25915468282372939</v>
      </c>
      <c r="I64" s="62" t="s">
        <v>1807</v>
      </c>
      <c r="J64" s="62">
        <v>1.3513939991686548</v>
      </c>
      <c r="K64" s="62" t="s">
        <v>1807</v>
      </c>
      <c r="L64" s="62">
        <v>1.5077928641124491E-2</v>
      </c>
      <c r="M64" s="62" t="s">
        <v>1808</v>
      </c>
      <c r="N64" s="62">
        <v>8.4102726877701881E-4</v>
      </c>
      <c r="O64" s="62" t="s">
        <v>1908</v>
      </c>
      <c r="P64" s="62">
        <v>0.13557168038147729</v>
      </c>
      <c r="Q64" s="62" t="s">
        <v>1908</v>
      </c>
      <c r="R64" s="62">
        <v>5.1837471411443382E-2</v>
      </c>
      <c r="S64" s="62" t="s">
        <v>1808</v>
      </c>
      <c r="T64" s="54">
        <v>1.2608277612960784E-3</v>
      </c>
      <c r="U64" s="62" t="s">
        <v>1908</v>
      </c>
      <c r="V64" s="54">
        <v>8.6235497663522773E-2</v>
      </c>
      <c r="W64" s="10" t="s">
        <v>1908</v>
      </c>
    </row>
    <row r="65" spans="2:23" ht="25.2" customHeight="1" x14ac:dyDescent="0.25">
      <c r="B65" s="16" t="s">
        <v>1023</v>
      </c>
      <c r="C65" s="18">
        <v>400</v>
      </c>
      <c r="D65" s="62">
        <v>2.046398421677341</v>
      </c>
      <c r="E65" s="62" t="s">
        <v>1808</v>
      </c>
      <c r="F65" s="62">
        <v>11.472169953648384</v>
      </c>
      <c r="G65" s="62" t="s">
        <v>1808</v>
      </c>
      <c r="H65" s="62">
        <v>0.31776283210069267</v>
      </c>
      <c r="I65" s="62" t="s">
        <v>1807</v>
      </c>
      <c r="J65" s="62">
        <v>1.5004868071117219</v>
      </c>
      <c r="K65" s="62" t="s">
        <v>1807</v>
      </c>
      <c r="L65" s="62">
        <v>1.5400567990690558E-2</v>
      </c>
      <c r="M65" s="62" t="s">
        <v>1808</v>
      </c>
      <c r="N65" s="62">
        <v>2.7967749982377757E-4</v>
      </c>
      <c r="O65" s="62" t="s">
        <v>1908</v>
      </c>
      <c r="P65" s="62">
        <v>8.4335670329696757E-2</v>
      </c>
      <c r="Q65" s="62" t="s">
        <v>1908</v>
      </c>
      <c r="R65" s="62">
        <v>5.9256824132425397E-2</v>
      </c>
      <c r="S65" s="62" t="s">
        <v>1808</v>
      </c>
      <c r="T65" s="54">
        <v>3.0730765310780601E-3</v>
      </c>
      <c r="U65" s="62" t="s">
        <v>1908</v>
      </c>
      <c r="V65" s="54">
        <v>9.9415088369517859E-2</v>
      </c>
      <c r="W65" s="10" t="s">
        <v>1908</v>
      </c>
    </row>
    <row r="66" spans="2:23" ht="25.2" customHeight="1" x14ac:dyDescent="0.25">
      <c r="B66" s="16" t="s">
        <v>1023</v>
      </c>
      <c r="C66" s="17">
        <v>500</v>
      </c>
      <c r="D66" s="62">
        <v>1.6316551545252507</v>
      </c>
      <c r="E66" s="62" t="s">
        <v>1808</v>
      </c>
      <c r="F66" s="62">
        <v>9.5895986284196244</v>
      </c>
      <c r="G66" s="62" t="s">
        <v>1808</v>
      </c>
      <c r="H66" s="62">
        <v>8.7147942888739019E-2</v>
      </c>
      <c r="I66" s="62" t="s">
        <v>1908</v>
      </c>
      <c r="J66" s="62">
        <v>1.4090342569204379</v>
      </c>
      <c r="K66" s="62" t="s">
        <v>1807</v>
      </c>
      <c r="L66" s="62">
        <v>1.6629932637340403E-2</v>
      </c>
      <c r="M66" s="62" t="s">
        <v>1808</v>
      </c>
      <c r="N66" s="62">
        <v>2.3627956030361624E-4</v>
      </c>
      <c r="O66" s="62" t="s">
        <v>1908</v>
      </c>
      <c r="P66" s="62">
        <v>8.3311021030977678E-2</v>
      </c>
      <c r="Q66" s="62" t="s">
        <v>1908</v>
      </c>
      <c r="R66" s="62">
        <v>6.1829153730733243E-2</v>
      </c>
      <c r="S66" s="62" t="s">
        <v>1808</v>
      </c>
      <c r="T66" s="54">
        <v>3.574574164053046E-4</v>
      </c>
      <c r="U66" s="62" t="s">
        <v>1908</v>
      </c>
      <c r="V66" s="54">
        <v>5.3257606662698034E-2</v>
      </c>
      <c r="W66" s="10" t="s">
        <v>1908</v>
      </c>
    </row>
    <row r="67" spans="2:23" ht="25.2" customHeight="1" x14ac:dyDescent="0.25">
      <c r="B67" s="16" t="s">
        <v>1025</v>
      </c>
      <c r="C67" s="18">
        <v>100</v>
      </c>
      <c r="D67" s="62">
        <v>0.15023524267949884</v>
      </c>
      <c r="E67" s="62" t="s">
        <v>1908</v>
      </c>
      <c r="F67" s="62">
        <v>0.35972977135268946</v>
      </c>
      <c r="G67" s="62" t="s">
        <v>1808</v>
      </c>
      <c r="H67" s="62">
        <v>5.4512794263069278E-2</v>
      </c>
      <c r="I67" s="62" t="s">
        <v>1908</v>
      </c>
      <c r="J67" s="62">
        <v>0.21596458391873644</v>
      </c>
      <c r="K67" s="62" t="s">
        <v>1908</v>
      </c>
      <c r="L67" s="62">
        <v>7.0980197024554745E-3</v>
      </c>
      <c r="M67" s="62" t="s">
        <v>1807</v>
      </c>
      <c r="N67" s="62">
        <v>1.6917409162873104E-4</v>
      </c>
      <c r="O67" s="62" t="s">
        <v>1908</v>
      </c>
      <c r="P67" s="62">
        <v>7.5573939736979012E-2</v>
      </c>
      <c r="Q67" s="62" t="s">
        <v>1908</v>
      </c>
      <c r="R67" s="62">
        <v>3.0384036786981805</v>
      </c>
      <c r="S67" s="62" t="s">
        <v>1808</v>
      </c>
      <c r="T67" s="54" t="s">
        <v>1907</v>
      </c>
      <c r="U67" s="62" t="s">
        <v>1808</v>
      </c>
      <c r="V67" s="54">
        <v>1.4866344862569828E-2</v>
      </c>
      <c r="W67" s="10" t="s">
        <v>1908</v>
      </c>
    </row>
    <row r="68" spans="2:23" ht="25.2" customHeight="1" x14ac:dyDescent="0.25">
      <c r="B68" s="16" t="s">
        <v>1025</v>
      </c>
      <c r="C68" s="17">
        <v>200</v>
      </c>
      <c r="D68" s="62">
        <v>0.62028628868068325</v>
      </c>
      <c r="E68" s="62" t="s">
        <v>1807</v>
      </c>
      <c r="F68" s="62">
        <v>1.003363578337072</v>
      </c>
      <c r="G68" s="62" t="s">
        <v>1808</v>
      </c>
      <c r="H68" s="62">
        <v>0.11352692017424194</v>
      </c>
      <c r="I68" s="62" t="s">
        <v>1908</v>
      </c>
      <c r="J68" s="62">
        <v>0.12893531691613749</v>
      </c>
      <c r="K68" s="62" t="s">
        <v>1908</v>
      </c>
      <c r="L68" s="62">
        <v>7.6475855376663135E-3</v>
      </c>
      <c r="M68" s="62" t="s">
        <v>1807</v>
      </c>
      <c r="N68" s="62">
        <v>1.2157902752890878E-4</v>
      </c>
      <c r="O68" s="62" t="s">
        <v>1908</v>
      </c>
      <c r="P68" s="62">
        <v>3.465854914373067E-2</v>
      </c>
      <c r="Q68" s="62" t="s">
        <v>1908</v>
      </c>
      <c r="R68" s="62">
        <v>5.019924236001021</v>
      </c>
      <c r="S68" s="62" t="s">
        <v>1808</v>
      </c>
      <c r="T68" s="54">
        <v>4.5787665913836491E-5</v>
      </c>
      <c r="U68" s="62" t="s">
        <v>1908</v>
      </c>
      <c r="V68" s="54">
        <v>1.9925307862303808E-2</v>
      </c>
      <c r="W68" s="10" t="s">
        <v>1908</v>
      </c>
    </row>
    <row r="69" spans="2:23" ht="25.2" customHeight="1" x14ac:dyDescent="0.25">
      <c r="B69" s="16" t="s">
        <v>1025</v>
      </c>
      <c r="C69" s="18">
        <v>300</v>
      </c>
      <c r="D69" s="62">
        <v>1.4566495166723896</v>
      </c>
      <c r="E69" s="62" t="s">
        <v>1808</v>
      </c>
      <c r="F69" s="62">
        <v>2.1549976646427105</v>
      </c>
      <c r="G69" s="62" t="s">
        <v>1808</v>
      </c>
      <c r="H69" s="62">
        <v>0.25399660360876658</v>
      </c>
      <c r="I69" s="62" t="s">
        <v>1807</v>
      </c>
      <c r="J69" s="62">
        <v>0.23764038078387362</v>
      </c>
      <c r="K69" s="62" t="s">
        <v>1908</v>
      </c>
      <c r="L69" s="62">
        <v>1.0632995393508635E-2</v>
      </c>
      <c r="M69" s="62" t="s">
        <v>1807</v>
      </c>
      <c r="N69" s="62">
        <v>5.9944697576346851E-4</v>
      </c>
      <c r="O69" s="62" t="s">
        <v>1908</v>
      </c>
      <c r="P69" s="62">
        <v>4.5416252332275815E-2</v>
      </c>
      <c r="Q69" s="62" t="s">
        <v>1908</v>
      </c>
      <c r="R69" s="62">
        <v>5.6085830423683065</v>
      </c>
      <c r="S69" s="62" t="s">
        <v>1808</v>
      </c>
      <c r="T69" s="54">
        <v>3.7802296935754377E-4</v>
      </c>
      <c r="U69" s="62" t="s">
        <v>1908</v>
      </c>
      <c r="V69" s="54">
        <v>6.202486958146998E-2</v>
      </c>
      <c r="W69" s="10" t="s">
        <v>1908</v>
      </c>
    </row>
    <row r="70" spans="2:23" ht="25.2" customHeight="1" x14ac:dyDescent="0.25">
      <c r="B70" s="16" t="s">
        <v>1025</v>
      </c>
      <c r="C70" s="18">
        <v>400</v>
      </c>
      <c r="D70" s="62">
        <v>1.4929776911355837</v>
      </c>
      <c r="E70" s="62" t="s">
        <v>1808</v>
      </c>
      <c r="F70" s="62">
        <v>2.0765775782475946</v>
      </c>
      <c r="G70" s="62" t="s">
        <v>1808</v>
      </c>
      <c r="H70" s="62">
        <v>0.17557369684559954</v>
      </c>
      <c r="I70" s="62" t="s">
        <v>1908</v>
      </c>
      <c r="J70" s="62">
        <v>0.15070987913038864</v>
      </c>
      <c r="K70" s="62" t="s">
        <v>1908</v>
      </c>
      <c r="L70" s="62">
        <v>8.5254397714759622E-3</v>
      </c>
      <c r="M70" s="62" t="s">
        <v>1807</v>
      </c>
      <c r="N70" s="62">
        <v>1.366629718539191E-4</v>
      </c>
      <c r="O70" s="62" t="s">
        <v>1908</v>
      </c>
      <c r="P70" s="62">
        <v>3.5625749023985485E-2</v>
      </c>
      <c r="Q70" s="62" t="s">
        <v>1908</v>
      </c>
      <c r="R70" s="62">
        <v>5.0070473757877636</v>
      </c>
      <c r="S70" s="62" t="s">
        <v>1808</v>
      </c>
      <c r="T70" s="54" t="s">
        <v>1907</v>
      </c>
      <c r="U70" s="62" t="s">
        <v>1808</v>
      </c>
      <c r="V70" s="54">
        <v>5.3514017817867243E-2</v>
      </c>
      <c r="W70" s="10" t="s">
        <v>1908</v>
      </c>
    </row>
    <row r="71" spans="2:23" ht="25.2" customHeight="1" x14ac:dyDescent="0.25">
      <c r="B71" s="16" t="s">
        <v>1025</v>
      </c>
      <c r="C71" s="17">
        <v>500</v>
      </c>
      <c r="D71" s="62">
        <v>1.6456770737874244</v>
      </c>
      <c r="E71" s="62" t="s">
        <v>1808</v>
      </c>
      <c r="F71" s="62">
        <v>2.4326652322879085</v>
      </c>
      <c r="G71" s="62" t="s">
        <v>1808</v>
      </c>
      <c r="H71" s="62">
        <v>0.18407228330179429</v>
      </c>
      <c r="I71" s="62" t="s">
        <v>1908</v>
      </c>
      <c r="J71" s="62">
        <v>0.12698238785638266</v>
      </c>
      <c r="K71" s="62" t="s">
        <v>1908</v>
      </c>
      <c r="L71" s="62">
        <v>9.4173852442877883E-3</v>
      </c>
      <c r="M71" s="62" t="s">
        <v>1807</v>
      </c>
      <c r="N71" s="62">
        <v>6.5758909711994756E-5</v>
      </c>
      <c r="O71" s="62" t="s">
        <v>1908</v>
      </c>
      <c r="P71" s="62">
        <v>0.19557991928767726</v>
      </c>
      <c r="Q71" s="62" t="s">
        <v>1908</v>
      </c>
      <c r="R71" s="62">
        <v>5.5388475409502451</v>
      </c>
      <c r="S71" s="62" t="s">
        <v>1808</v>
      </c>
      <c r="T71" s="54">
        <v>1.013135803305294E-4</v>
      </c>
      <c r="U71" s="62" t="s">
        <v>1908</v>
      </c>
      <c r="V71" s="54">
        <v>5.3826275489966498E-2</v>
      </c>
      <c r="W71" s="10" t="s">
        <v>1908</v>
      </c>
    </row>
    <row r="72" spans="2:23" ht="25.2" customHeight="1" x14ac:dyDescent="0.25">
      <c r="B72" s="16" t="s">
        <v>1025</v>
      </c>
      <c r="C72" s="18">
        <v>600</v>
      </c>
      <c r="D72" s="62">
        <v>0.72685476659170856</v>
      </c>
      <c r="E72" s="62" t="s">
        <v>1808</v>
      </c>
      <c r="F72" s="62">
        <v>1.2187283410829861</v>
      </c>
      <c r="G72" s="62" t="s">
        <v>1808</v>
      </c>
      <c r="H72" s="62">
        <v>0.62750589594938599</v>
      </c>
      <c r="I72" s="62" t="s">
        <v>1807</v>
      </c>
      <c r="J72" s="62">
        <v>0.84339267581265187</v>
      </c>
      <c r="K72" s="62" t="s">
        <v>1807</v>
      </c>
      <c r="L72" s="62">
        <v>9.3613001434412688E-3</v>
      </c>
      <c r="M72" s="62" t="s">
        <v>1807</v>
      </c>
      <c r="N72" s="62">
        <v>1.3474264689746927E-3</v>
      </c>
      <c r="O72" s="62" t="s">
        <v>1807</v>
      </c>
      <c r="P72" s="62">
        <v>7.0164145110033632E-2</v>
      </c>
      <c r="Q72" s="62" t="s">
        <v>1908</v>
      </c>
      <c r="R72" s="62">
        <v>5.9991813832629859</v>
      </c>
      <c r="S72" s="62" t="s">
        <v>1808</v>
      </c>
      <c r="T72" s="54">
        <v>7.3811786801509605E-4</v>
      </c>
      <c r="U72" s="62" t="s">
        <v>1908</v>
      </c>
      <c r="V72" s="54">
        <v>0.17194655208300891</v>
      </c>
      <c r="W72" s="10" t="s">
        <v>1807</v>
      </c>
    </row>
    <row r="73" spans="2:23" ht="25.2" customHeight="1" x14ac:dyDescent="0.25">
      <c r="B73" s="16" t="s">
        <v>1025</v>
      </c>
      <c r="C73" s="17">
        <v>700</v>
      </c>
      <c r="D73" s="62">
        <v>0.80047701048093634</v>
      </c>
      <c r="E73" s="62" t="s">
        <v>1808</v>
      </c>
      <c r="F73" s="62">
        <v>1.2384777281177022</v>
      </c>
      <c r="G73" s="62" t="s">
        <v>1808</v>
      </c>
      <c r="H73" s="62">
        <v>0.13238244456264478</v>
      </c>
      <c r="I73" s="62" t="s">
        <v>1908</v>
      </c>
      <c r="J73" s="62">
        <v>0.57624058570618131</v>
      </c>
      <c r="K73" s="62" t="s">
        <v>1908</v>
      </c>
      <c r="L73" s="62">
        <v>9.5121612198751735E-3</v>
      </c>
      <c r="M73" s="62" t="s">
        <v>1807</v>
      </c>
      <c r="N73" s="62">
        <v>1.2131930796384044E-3</v>
      </c>
      <c r="O73" s="62" t="s">
        <v>1908</v>
      </c>
      <c r="P73" s="62">
        <v>3.3799182271910262E-2</v>
      </c>
      <c r="Q73" s="62" t="s">
        <v>1908</v>
      </c>
      <c r="R73" s="62">
        <v>5.3491353486077466</v>
      </c>
      <c r="S73" s="62" t="s">
        <v>1808</v>
      </c>
      <c r="T73" s="54">
        <v>5.0815684354307378E-4</v>
      </c>
      <c r="U73" s="62" t="s">
        <v>1908</v>
      </c>
      <c r="V73" s="54">
        <v>3.5618820001581127E-2</v>
      </c>
      <c r="W73" s="10" t="s">
        <v>1908</v>
      </c>
    </row>
    <row r="74" spans="2:23" ht="25.2" customHeight="1" x14ac:dyDescent="0.25">
      <c r="B74" s="16" t="s">
        <v>1025</v>
      </c>
      <c r="C74" s="18">
        <v>800</v>
      </c>
      <c r="D74" s="62">
        <v>1.5448966604241263</v>
      </c>
      <c r="E74" s="62" t="s">
        <v>1808</v>
      </c>
      <c r="F74" s="62">
        <v>2.2624576185066885</v>
      </c>
      <c r="G74" s="62" t="s">
        <v>1808</v>
      </c>
      <c r="H74" s="62">
        <v>0.10959047224587155</v>
      </c>
      <c r="I74" s="62" t="s">
        <v>1908</v>
      </c>
      <c r="J74" s="62">
        <v>0.54142212193725081</v>
      </c>
      <c r="K74" s="62" t="s">
        <v>1908</v>
      </c>
      <c r="L74" s="62">
        <v>9.7323738933349519E-3</v>
      </c>
      <c r="M74" s="62" t="s">
        <v>1807</v>
      </c>
      <c r="N74" s="62">
        <v>7.324446019373917E-4</v>
      </c>
      <c r="O74" s="62" t="s">
        <v>1908</v>
      </c>
      <c r="P74" s="62">
        <v>0.40216592575305965</v>
      </c>
      <c r="Q74" s="62" t="s">
        <v>1908</v>
      </c>
      <c r="R74" s="62">
        <v>7.590030327179611</v>
      </c>
      <c r="S74" s="62" t="s">
        <v>1808</v>
      </c>
      <c r="T74" s="54">
        <v>7.104852452515586E-4</v>
      </c>
      <c r="U74" s="62" t="s">
        <v>1908</v>
      </c>
      <c r="V74" s="54">
        <v>1.4796803334827857E-2</v>
      </c>
      <c r="W74" s="10" t="s">
        <v>1908</v>
      </c>
    </row>
    <row r="75" spans="2:23" ht="25.2" customHeight="1" x14ac:dyDescent="0.25">
      <c r="B75" s="16" t="s">
        <v>1025</v>
      </c>
      <c r="C75" s="17">
        <v>900</v>
      </c>
      <c r="D75" s="62">
        <v>2.6456607647304828</v>
      </c>
      <c r="E75" s="62" t="s">
        <v>1808</v>
      </c>
      <c r="F75" s="62">
        <v>3.7158517426996087</v>
      </c>
      <c r="G75" s="62" t="s">
        <v>1808</v>
      </c>
      <c r="H75" s="62">
        <v>0.4406287685668655</v>
      </c>
      <c r="I75" s="62" t="s">
        <v>1807</v>
      </c>
      <c r="J75" s="62">
        <v>0.59211592876673746</v>
      </c>
      <c r="K75" s="62" t="s">
        <v>1908</v>
      </c>
      <c r="L75" s="62">
        <v>1.0261713230594003E-2</v>
      </c>
      <c r="M75" s="62" t="s">
        <v>1807</v>
      </c>
      <c r="N75" s="62">
        <v>7.344107332538949E-4</v>
      </c>
      <c r="O75" s="62" t="s">
        <v>1908</v>
      </c>
      <c r="P75" s="62">
        <v>0.26247891229986303</v>
      </c>
      <c r="Q75" s="62" t="s">
        <v>1908</v>
      </c>
      <c r="R75" s="62">
        <v>9.1297129021627708</v>
      </c>
      <c r="S75" s="62" t="s">
        <v>1808</v>
      </c>
      <c r="T75" s="54">
        <v>7.0777475336832301E-4</v>
      </c>
      <c r="U75" s="62" t="s">
        <v>1908</v>
      </c>
      <c r="V75" s="54">
        <v>0.1128491077996441</v>
      </c>
      <c r="W75" s="10" t="s">
        <v>1908</v>
      </c>
    </row>
    <row r="76" spans="2:23" ht="25.2" customHeight="1" x14ac:dyDescent="0.25">
      <c r="B76" s="16" t="s">
        <v>1025</v>
      </c>
      <c r="C76" s="18">
        <v>1000</v>
      </c>
      <c r="D76" s="62">
        <v>8.9259979427498752</v>
      </c>
      <c r="E76" s="62" t="s">
        <v>1808</v>
      </c>
      <c r="F76" s="62">
        <v>12.355513239380626</v>
      </c>
      <c r="G76" s="62" t="s">
        <v>1808</v>
      </c>
      <c r="H76" s="62">
        <v>1.2288759352434908</v>
      </c>
      <c r="I76" s="62" t="s">
        <v>1808</v>
      </c>
      <c r="J76" s="62">
        <v>0.84912219290276947</v>
      </c>
      <c r="K76" s="62" t="s">
        <v>1807</v>
      </c>
      <c r="L76" s="62">
        <v>1.341609503937663E-2</v>
      </c>
      <c r="M76" s="62" t="s">
        <v>1808</v>
      </c>
      <c r="N76" s="62">
        <v>2.194770465316442E-3</v>
      </c>
      <c r="O76" s="62" t="s">
        <v>1807</v>
      </c>
      <c r="P76" s="62">
        <v>0.21847315637842618</v>
      </c>
      <c r="Q76" s="62" t="s">
        <v>1908</v>
      </c>
      <c r="R76" s="62">
        <v>16.590363378937106</v>
      </c>
      <c r="S76" s="62" t="s">
        <v>1808</v>
      </c>
      <c r="T76" s="54">
        <v>8.781959562672439E-4</v>
      </c>
      <c r="U76" s="62" t="s">
        <v>1908</v>
      </c>
      <c r="V76" s="54">
        <v>0.2312937436995936</v>
      </c>
      <c r="W76" s="10" t="s">
        <v>1807</v>
      </c>
    </row>
    <row r="77" spans="2:23" ht="25.2" customHeight="1" x14ac:dyDescent="0.25">
      <c r="B77" s="16" t="s">
        <v>1025</v>
      </c>
      <c r="C77" s="17">
        <v>1100</v>
      </c>
      <c r="D77" s="62">
        <v>4.3407575622109098</v>
      </c>
      <c r="E77" s="62" t="s">
        <v>1808</v>
      </c>
      <c r="F77" s="62">
        <v>7.2500201469528065</v>
      </c>
      <c r="G77" s="62" t="s">
        <v>1808</v>
      </c>
      <c r="H77" s="62">
        <v>0.34218777837540687</v>
      </c>
      <c r="I77" s="62" t="s">
        <v>1807</v>
      </c>
      <c r="J77" s="62">
        <v>0.5150764537507303</v>
      </c>
      <c r="K77" s="62" t="s">
        <v>1908</v>
      </c>
      <c r="L77" s="62">
        <v>9.5343213201108095E-3</v>
      </c>
      <c r="M77" s="62" t="s">
        <v>1807</v>
      </c>
      <c r="N77" s="62">
        <v>1.4465516177128567E-3</v>
      </c>
      <c r="O77" s="62" t="s">
        <v>1807</v>
      </c>
      <c r="P77" s="62">
        <v>7.4303649461454652E-2</v>
      </c>
      <c r="Q77" s="62" t="s">
        <v>1908</v>
      </c>
      <c r="R77" s="62">
        <v>13.773862407538386</v>
      </c>
      <c r="S77" s="62" t="s">
        <v>1808</v>
      </c>
      <c r="T77" s="54">
        <v>1.0723882212474998E-3</v>
      </c>
      <c r="U77" s="62" t="s">
        <v>1908</v>
      </c>
      <c r="V77" s="54" t="s">
        <v>1907</v>
      </c>
      <c r="W77" s="10" t="s">
        <v>1808</v>
      </c>
    </row>
    <row r="78" spans="2:23" ht="25.2" customHeight="1" x14ac:dyDescent="0.25">
      <c r="B78" s="16" t="s">
        <v>1025</v>
      </c>
      <c r="C78" s="18">
        <v>1200</v>
      </c>
      <c r="D78" s="62">
        <v>1.3617157365960981</v>
      </c>
      <c r="E78" s="62" t="s">
        <v>1808</v>
      </c>
      <c r="F78" s="62">
        <v>2.6644757030028394</v>
      </c>
      <c r="G78" s="62" t="s">
        <v>1808</v>
      </c>
      <c r="H78" s="62">
        <v>0.24290007898721847</v>
      </c>
      <c r="I78" s="62" t="s">
        <v>1807</v>
      </c>
      <c r="J78" s="62">
        <v>0.41649730506744131</v>
      </c>
      <c r="K78" s="62" t="s">
        <v>1908</v>
      </c>
      <c r="L78" s="62">
        <v>7.0433817913014138E-3</v>
      </c>
      <c r="M78" s="62" t="s">
        <v>1807</v>
      </c>
      <c r="N78" s="62">
        <v>7.4471256644639459E-4</v>
      </c>
      <c r="O78" s="62" t="s">
        <v>1908</v>
      </c>
      <c r="P78" s="62">
        <v>0.11548476388843042</v>
      </c>
      <c r="Q78" s="62" t="s">
        <v>1908</v>
      </c>
      <c r="R78" s="62">
        <v>8.514611494323562</v>
      </c>
      <c r="S78" s="62" t="s">
        <v>1808</v>
      </c>
      <c r="T78" s="54">
        <v>8.66255002331779E-4</v>
      </c>
      <c r="U78" s="62" t="s">
        <v>1908</v>
      </c>
      <c r="V78" s="54">
        <v>8.1685405707286659E-3</v>
      </c>
      <c r="W78" s="10" t="s">
        <v>1908</v>
      </c>
    </row>
    <row r="79" spans="2:23" ht="25.2" customHeight="1" x14ac:dyDescent="0.25">
      <c r="B79" s="16" t="s">
        <v>1025</v>
      </c>
      <c r="C79" s="17">
        <v>1300</v>
      </c>
      <c r="D79" s="62">
        <v>0.23493997603186625</v>
      </c>
      <c r="E79" s="62" t="s">
        <v>1808</v>
      </c>
      <c r="F79" s="62">
        <v>2.4162236560931141</v>
      </c>
      <c r="G79" s="62" t="s">
        <v>1808</v>
      </c>
      <c r="H79" s="62">
        <v>0.25882360090508949</v>
      </c>
      <c r="I79" s="62" t="s">
        <v>1808</v>
      </c>
      <c r="J79" s="62">
        <v>0.22768626801132621</v>
      </c>
      <c r="K79" s="62" t="s">
        <v>1908</v>
      </c>
      <c r="L79" s="62">
        <v>2.917605100976457E-3</v>
      </c>
      <c r="M79" s="62" t="s">
        <v>1807</v>
      </c>
      <c r="N79" s="62">
        <v>5.614286805965599E-4</v>
      </c>
      <c r="O79" s="62" t="s">
        <v>1807</v>
      </c>
      <c r="P79" s="62">
        <v>0.21861496304371678</v>
      </c>
      <c r="Q79" s="62" t="s">
        <v>1807</v>
      </c>
      <c r="R79" s="62">
        <v>2.4868327588252037</v>
      </c>
      <c r="S79" s="62" t="s">
        <v>1808</v>
      </c>
      <c r="T79" s="54">
        <v>7.8263023056176736E-4</v>
      </c>
      <c r="U79" s="62" t="s">
        <v>1908</v>
      </c>
      <c r="V79" s="54" t="s">
        <v>1907</v>
      </c>
      <c r="W79" s="10" t="s">
        <v>1808</v>
      </c>
    </row>
    <row r="80" spans="2:23" ht="25.2" customHeight="1" x14ac:dyDescent="0.25">
      <c r="B80" s="16" t="s">
        <v>1025</v>
      </c>
      <c r="C80" s="18">
        <v>1400</v>
      </c>
      <c r="D80" s="62" t="s">
        <v>1907</v>
      </c>
      <c r="E80" s="62" t="s">
        <v>1808</v>
      </c>
      <c r="F80" s="62">
        <v>0.77910983590506466</v>
      </c>
      <c r="G80" s="62" t="s">
        <v>1808</v>
      </c>
      <c r="H80" s="62">
        <v>2.6497092159982485E-2</v>
      </c>
      <c r="I80" s="62" t="s">
        <v>1908</v>
      </c>
      <c r="J80" s="62">
        <v>1.3240079054756499</v>
      </c>
      <c r="K80" s="62" t="s">
        <v>1808</v>
      </c>
      <c r="L80" s="62">
        <v>1.4947444361937953E-2</v>
      </c>
      <c r="M80" s="62" t="s">
        <v>1808</v>
      </c>
      <c r="N80" s="62">
        <v>3.4253767399626604E-4</v>
      </c>
      <c r="O80" s="62" t="s">
        <v>1807</v>
      </c>
      <c r="P80" s="62" t="s">
        <v>1907</v>
      </c>
      <c r="Q80" s="62" t="s">
        <v>1808</v>
      </c>
      <c r="R80" s="62">
        <v>0.92189271642760839</v>
      </c>
      <c r="S80" s="62" t="s">
        <v>1808</v>
      </c>
      <c r="T80" s="54" t="s">
        <v>1907</v>
      </c>
      <c r="U80" s="62" t="s">
        <v>1808</v>
      </c>
      <c r="V80" s="54" t="s">
        <v>1907</v>
      </c>
      <c r="W80" s="10" t="s">
        <v>1808</v>
      </c>
    </row>
    <row r="81" spans="2:23" ht="25.2" customHeight="1" x14ac:dyDescent="0.25">
      <c r="B81" s="16" t="s">
        <v>1026</v>
      </c>
      <c r="C81" s="17">
        <v>100</v>
      </c>
      <c r="D81" s="62">
        <v>2.4042905152198268E-2</v>
      </c>
      <c r="E81" s="62" t="s">
        <v>1908</v>
      </c>
      <c r="F81" s="62">
        <v>0.25514630319130865</v>
      </c>
      <c r="G81" s="62" t="s">
        <v>1807</v>
      </c>
      <c r="H81" s="62">
        <v>0.43865407637985093</v>
      </c>
      <c r="I81" s="62" t="s">
        <v>1807</v>
      </c>
      <c r="J81" s="62">
        <v>0.97025107337606198</v>
      </c>
      <c r="K81" s="62" t="s">
        <v>1807</v>
      </c>
      <c r="L81" s="62">
        <v>8.2759954666917906E-3</v>
      </c>
      <c r="M81" s="62" t="s">
        <v>1807</v>
      </c>
      <c r="N81" s="62">
        <v>1.1547294177307725E-3</v>
      </c>
      <c r="O81" s="62" t="s">
        <v>1908</v>
      </c>
      <c r="P81" s="62">
        <v>0.26644511590781866</v>
      </c>
      <c r="Q81" s="62" t="s">
        <v>1908</v>
      </c>
      <c r="R81" s="62">
        <v>1.4251560714493712</v>
      </c>
      <c r="S81" s="62" t="s">
        <v>1808</v>
      </c>
      <c r="T81" s="54">
        <v>1.0923488001625013E-3</v>
      </c>
      <c r="U81" s="62" t="s">
        <v>1908</v>
      </c>
      <c r="V81" s="54">
        <v>0.15666379441547984</v>
      </c>
      <c r="W81" s="10" t="s">
        <v>1807</v>
      </c>
    </row>
    <row r="82" spans="2:23" ht="25.2" customHeight="1" x14ac:dyDescent="0.25">
      <c r="B82" s="16" t="s">
        <v>1026</v>
      </c>
      <c r="C82" s="18">
        <v>200</v>
      </c>
      <c r="D82" s="62">
        <v>0.37482222160175815</v>
      </c>
      <c r="E82" s="62" t="s">
        <v>1807</v>
      </c>
      <c r="F82" s="62">
        <v>0.70349419218283293</v>
      </c>
      <c r="G82" s="62" t="s">
        <v>1808</v>
      </c>
      <c r="H82" s="62">
        <v>4.8285010920328705E-2</v>
      </c>
      <c r="I82" s="62" t="s">
        <v>1908</v>
      </c>
      <c r="J82" s="62">
        <v>0.33973049180247084</v>
      </c>
      <c r="K82" s="62" t="s">
        <v>1908</v>
      </c>
      <c r="L82" s="62">
        <v>1.9348184064127336E-2</v>
      </c>
      <c r="M82" s="62" t="s">
        <v>1808</v>
      </c>
      <c r="N82" s="62">
        <v>6.58745478020576E-4</v>
      </c>
      <c r="O82" s="62" t="s">
        <v>1908</v>
      </c>
      <c r="P82" s="62">
        <v>2.6677732282191759E-2</v>
      </c>
      <c r="Q82" s="62" t="s">
        <v>1908</v>
      </c>
      <c r="R82" s="62">
        <v>1.7485371021898932</v>
      </c>
      <c r="S82" s="62" t="s">
        <v>1808</v>
      </c>
      <c r="T82" s="54">
        <v>6.8209062366865995E-5</v>
      </c>
      <c r="U82" s="62" t="s">
        <v>1908</v>
      </c>
      <c r="V82" s="54">
        <v>3.0048635171072938E-2</v>
      </c>
      <c r="W82" s="10" t="s">
        <v>1908</v>
      </c>
    </row>
    <row r="83" spans="2:23" ht="25.2" customHeight="1" x14ac:dyDescent="0.25">
      <c r="B83" s="16" t="s">
        <v>1026</v>
      </c>
      <c r="C83" s="17">
        <v>300</v>
      </c>
      <c r="D83" s="62">
        <v>0.51683495476832586</v>
      </c>
      <c r="E83" s="62" t="s">
        <v>1807</v>
      </c>
      <c r="F83" s="62">
        <v>1.093241848512525</v>
      </c>
      <c r="G83" s="62" t="s">
        <v>1808</v>
      </c>
      <c r="H83" s="62">
        <v>18.400555316286681</v>
      </c>
      <c r="I83" s="62" t="s">
        <v>1808</v>
      </c>
      <c r="J83" s="62">
        <v>15.000801555939903</v>
      </c>
      <c r="K83" s="62" t="s">
        <v>1808</v>
      </c>
      <c r="L83" s="62">
        <v>1.629154117302823E-2</v>
      </c>
      <c r="M83" s="62" t="s">
        <v>1808</v>
      </c>
      <c r="N83" s="62">
        <v>5.5894677851340514E-3</v>
      </c>
      <c r="O83" s="62" t="s">
        <v>1808</v>
      </c>
      <c r="P83" s="62">
        <v>0.45919894128909938</v>
      </c>
      <c r="Q83" s="62" t="s">
        <v>1908</v>
      </c>
      <c r="R83" s="62">
        <v>1.7256622981522796</v>
      </c>
      <c r="S83" s="62" t="s">
        <v>1808</v>
      </c>
      <c r="T83" s="54">
        <v>1.0774063935224712E-2</v>
      </c>
      <c r="U83" s="62" t="s">
        <v>1807</v>
      </c>
      <c r="V83" s="54">
        <v>7.3404742210228751</v>
      </c>
      <c r="W83" s="10" t="s">
        <v>1808</v>
      </c>
    </row>
    <row r="84" spans="2:23" ht="25.2" customHeight="1" x14ac:dyDescent="0.25">
      <c r="B84" s="16" t="s">
        <v>1026</v>
      </c>
      <c r="C84" s="18">
        <v>400</v>
      </c>
      <c r="D84" s="62">
        <v>0.93074402798505707</v>
      </c>
      <c r="E84" s="62" t="s">
        <v>1808</v>
      </c>
      <c r="F84" s="62">
        <v>1.3276157627949379</v>
      </c>
      <c r="G84" s="62" t="s">
        <v>1808</v>
      </c>
      <c r="H84" s="62">
        <v>0.16227094828565791</v>
      </c>
      <c r="I84" s="62" t="s">
        <v>1908</v>
      </c>
      <c r="J84" s="62">
        <v>1.0259577507456117</v>
      </c>
      <c r="K84" s="62" t="s">
        <v>1807</v>
      </c>
      <c r="L84" s="62">
        <v>1.4229015823796961E-2</v>
      </c>
      <c r="M84" s="62" t="s">
        <v>1808</v>
      </c>
      <c r="N84" s="62">
        <v>1.3082197648478029E-3</v>
      </c>
      <c r="O84" s="62" t="s">
        <v>1908</v>
      </c>
      <c r="P84" s="62">
        <v>0.50033984750461957</v>
      </c>
      <c r="Q84" s="62" t="s">
        <v>1908</v>
      </c>
      <c r="R84" s="62">
        <v>2.1313084049809956</v>
      </c>
      <c r="S84" s="62" t="s">
        <v>1808</v>
      </c>
      <c r="T84" s="54">
        <v>1.3742425304161014E-3</v>
      </c>
      <c r="U84" s="62" t="s">
        <v>1908</v>
      </c>
      <c r="V84" s="54">
        <v>5.1833760639405591E-2</v>
      </c>
      <c r="W84" s="10" t="s">
        <v>1908</v>
      </c>
    </row>
    <row r="85" spans="2:23" ht="25.2" customHeight="1" x14ac:dyDescent="0.25">
      <c r="B85" s="16" t="s">
        <v>1026</v>
      </c>
      <c r="C85" s="18">
        <v>500</v>
      </c>
      <c r="D85" s="62">
        <v>1.2982157098052747</v>
      </c>
      <c r="E85" s="62" t="s">
        <v>1808</v>
      </c>
      <c r="F85" s="62">
        <v>1.9386766876781005</v>
      </c>
      <c r="G85" s="62" t="s">
        <v>1808</v>
      </c>
      <c r="H85" s="62">
        <v>0.15244135024649288</v>
      </c>
      <c r="I85" s="62" t="s">
        <v>1908</v>
      </c>
      <c r="J85" s="62">
        <v>0.93300390202651617</v>
      </c>
      <c r="K85" s="62" t="s">
        <v>1807</v>
      </c>
      <c r="L85" s="62">
        <v>1.379224793292475E-2</v>
      </c>
      <c r="M85" s="62" t="s">
        <v>1808</v>
      </c>
      <c r="N85" s="62">
        <v>8.1239137700234306E-4</v>
      </c>
      <c r="O85" s="62" t="s">
        <v>1908</v>
      </c>
      <c r="P85" s="62">
        <v>0.12604277474104045</v>
      </c>
      <c r="Q85" s="62" t="s">
        <v>1908</v>
      </c>
      <c r="R85" s="62">
        <v>2.3573625286980553</v>
      </c>
      <c r="S85" s="62" t="s">
        <v>1808</v>
      </c>
      <c r="T85" s="54">
        <v>2.1204937874454437E-3</v>
      </c>
      <c r="U85" s="62" t="s">
        <v>1908</v>
      </c>
      <c r="V85" s="54">
        <v>2.6086946496872508E-2</v>
      </c>
      <c r="W85" s="10" t="s">
        <v>1908</v>
      </c>
    </row>
    <row r="86" spans="2:23" ht="25.2" customHeight="1" x14ac:dyDescent="0.25">
      <c r="B86" s="16" t="s">
        <v>1027</v>
      </c>
      <c r="C86" s="17">
        <v>100</v>
      </c>
      <c r="D86" s="62">
        <v>0.22770257007648639</v>
      </c>
      <c r="E86" s="62" t="s">
        <v>1807</v>
      </c>
      <c r="F86" s="62">
        <v>0.37581176595000954</v>
      </c>
      <c r="G86" s="62" t="s">
        <v>1808</v>
      </c>
      <c r="H86" s="62">
        <v>0.17700369727066309</v>
      </c>
      <c r="I86" s="62" t="s">
        <v>1908</v>
      </c>
      <c r="J86" s="62">
        <v>0.83176564514494267</v>
      </c>
      <c r="K86" s="62" t="s">
        <v>1807</v>
      </c>
      <c r="L86" s="62">
        <v>1.0028905892325397E-2</v>
      </c>
      <c r="M86" s="62" t="s">
        <v>1807</v>
      </c>
      <c r="N86" s="62">
        <v>1.3197140877681229E-3</v>
      </c>
      <c r="O86" s="62" t="s">
        <v>1807</v>
      </c>
      <c r="P86" s="62">
        <v>0.15529780350496361</v>
      </c>
      <c r="Q86" s="62" t="s">
        <v>1908</v>
      </c>
      <c r="R86" s="62">
        <v>1.7764341691853722</v>
      </c>
      <c r="S86" s="62" t="s">
        <v>1808</v>
      </c>
      <c r="T86" s="54">
        <v>6.8839957383143714E-4</v>
      </c>
      <c r="U86" s="62" t="s">
        <v>1908</v>
      </c>
      <c r="V86" s="54">
        <v>6.630788670105997E-2</v>
      </c>
      <c r="W86" s="10" t="s">
        <v>1908</v>
      </c>
    </row>
    <row r="87" spans="2:23" ht="25.2" customHeight="1" x14ac:dyDescent="0.25">
      <c r="B87" s="16" t="s">
        <v>1027</v>
      </c>
      <c r="C87" s="18">
        <v>200</v>
      </c>
      <c r="D87" s="62">
        <v>0.50289370536492284</v>
      </c>
      <c r="E87" s="62" t="s">
        <v>1807</v>
      </c>
      <c r="F87" s="62">
        <v>0.78205246387032679</v>
      </c>
      <c r="G87" s="62" t="s">
        <v>1808</v>
      </c>
      <c r="H87" s="62">
        <v>0.11644708112763934</v>
      </c>
      <c r="I87" s="62" t="s">
        <v>1908</v>
      </c>
      <c r="J87" s="62">
        <v>0.61318097023053886</v>
      </c>
      <c r="K87" s="62" t="s">
        <v>1908</v>
      </c>
      <c r="L87" s="62">
        <v>1.1611027751363984E-2</v>
      </c>
      <c r="M87" s="62" t="s">
        <v>1807</v>
      </c>
      <c r="N87" s="62">
        <v>1.1789631108736775E-3</v>
      </c>
      <c r="O87" s="62" t="s">
        <v>1908</v>
      </c>
      <c r="P87" s="62">
        <v>8.9659552319078226E-2</v>
      </c>
      <c r="Q87" s="62" t="s">
        <v>1908</v>
      </c>
      <c r="R87" s="62">
        <v>1.8632681926407528</v>
      </c>
      <c r="S87" s="62" t="s">
        <v>1808</v>
      </c>
      <c r="T87" s="54">
        <v>3.9131819551020321E-3</v>
      </c>
      <c r="U87" s="62" t="s">
        <v>1908</v>
      </c>
      <c r="V87" s="54">
        <v>3.8885480256782373E-2</v>
      </c>
      <c r="W87" s="10" t="s">
        <v>1908</v>
      </c>
    </row>
    <row r="88" spans="2:23" ht="25.2" customHeight="1" x14ac:dyDescent="0.25">
      <c r="B88" s="16" t="s">
        <v>1027</v>
      </c>
      <c r="C88" s="17">
        <v>300</v>
      </c>
      <c r="D88" s="62">
        <v>0.80358406754657319</v>
      </c>
      <c r="E88" s="62" t="s">
        <v>1808</v>
      </c>
      <c r="F88" s="62">
        <v>1.1810817576216992</v>
      </c>
      <c r="G88" s="62" t="s">
        <v>1808</v>
      </c>
      <c r="H88" s="62">
        <v>0.20105061320206999</v>
      </c>
      <c r="I88" s="62" t="s">
        <v>1908</v>
      </c>
      <c r="J88" s="62">
        <v>0.41763171066360621</v>
      </c>
      <c r="K88" s="62" t="s">
        <v>1908</v>
      </c>
      <c r="L88" s="62">
        <v>1.2712401068967401E-2</v>
      </c>
      <c r="M88" s="62" t="s">
        <v>1808</v>
      </c>
      <c r="N88" s="62">
        <v>4.3027829913542207E-3</v>
      </c>
      <c r="O88" s="62" t="s">
        <v>1807</v>
      </c>
      <c r="P88" s="62">
        <v>0.13050210845574617</v>
      </c>
      <c r="Q88" s="62" t="s">
        <v>1908</v>
      </c>
      <c r="R88" s="62">
        <v>1.8259518473976091</v>
      </c>
      <c r="S88" s="62" t="s">
        <v>1808</v>
      </c>
      <c r="T88" s="54">
        <v>5.8478624924677503E-4</v>
      </c>
      <c r="U88" s="62" t="s">
        <v>1908</v>
      </c>
      <c r="V88" s="54">
        <v>8.0138499734446214E-2</v>
      </c>
      <c r="W88" s="10" t="s">
        <v>1908</v>
      </c>
    </row>
    <row r="89" spans="2:23" ht="25.2" customHeight="1" x14ac:dyDescent="0.25">
      <c r="B89" s="16" t="s">
        <v>1027</v>
      </c>
      <c r="C89" s="18">
        <v>400</v>
      </c>
      <c r="D89" s="62">
        <v>1.2700091793617614</v>
      </c>
      <c r="E89" s="62" t="s">
        <v>1808</v>
      </c>
      <c r="F89" s="62">
        <v>1.8165305110122085</v>
      </c>
      <c r="G89" s="62" t="s">
        <v>1808</v>
      </c>
      <c r="H89" s="62">
        <v>0.11809141530854889</v>
      </c>
      <c r="I89" s="62" t="s">
        <v>1908</v>
      </c>
      <c r="J89" s="62">
        <v>0.51645477524831995</v>
      </c>
      <c r="K89" s="62" t="s">
        <v>1908</v>
      </c>
      <c r="L89" s="62">
        <v>1.3098483945748014E-2</v>
      </c>
      <c r="M89" s="62" t="s">
        <v>1808</v>
      </c>
      <c r="N89" s="62">
        <v>1.0556099075384046E-3</v>
      </c>
      <c r="O89" s="62" t="s">
        <v>1908</v>
      </c>
      <c r="P89" s="62">
        <v>0.32257413370370808</v>
      </c>
      <c r="Q89" s="62" t="s">
        <v>1908</v>
      </c>
      <c r="R89" s="62">
        <v>2.4688353841807387</v>
      </c>
      <c r="S89" s="62" t="s">
        <v>1808</v>
      </c>
      <c r="T89" s="54">
        <v>7.5736524658603888E-4</v>
      </c>
      <c r="U89" s="62" t="s">
        <v>1908</v>
      </c>
      <c r="V89" s="54">
        <v>3.2589555256914787E-2</v>
      </c>
      <c r="W89" s="10" t="s">
        <v>1908</v>
      </c>
    </row>
    <row r="90" spans="2:23" ht="25.2" customHeight="1" x14ac:dyDescent="0.25">
      <c r="B90" s="16" t="s">
        <v>1027</v>
      </c>
      <c r="C90" s="18">
        <v>500</v>
      </c>
      <c r="D90" s="62">
        <v>1.362875698895206</v>
      </c>
      <c r="E90" s="62" t="s">
        <v>1808</v>
      </c>
      <c r="F90" s="62">
        <v>1.9442963607543116</v>
      </c>
      <c r="G90" s="62" t="s">
        <v>1808</v>
      </c>
      <c r="H90" s="62">
        <v>0.56363697961649639</v>
      </c>
      <c r="I90" s="62" t="s">
        <v>1807</v>
      </c>
      <c r="J90" s="62">
        <v>0.64072550581745202</v>
      </c>
      <c r="K90" s="62" t="s">
        <v>1908</v>
      </c>
      <c r="L90" s="62">
        <v>1.5322833768194138E-2</v>
      </c>
      <c r="M90" s="62" t="s">
        <v>1808</v>
      </c>
      <c r="N90" s="62">
        <v>1.3265788301270183E-3</v>
      </c>
      <c r="O90" s="62" t="s">
        <v>1908</v>
      </c>
      <c r="P90" s="62">
        <v>2.0649019692818894E-2</v>
      </c>
      <c r="Q90" s="62" t="s">
        <v>1908</v>
      </c>
      <c r="R90" s="62">
        <v>2.6714288067646565</v>
      </c>
      <c r="S90" s="62" t="s">
        <v>1808</v>
      </c>
      <c r="T90" s="54">
        <v>1.225596617821205E-3</v>
      </c>
      <c r="U90" s="62" t="s">
        <v>1908</v>
      </c>
      <c r="V90" s="54">
        <v>0.21251569242862992</v>
      </c>
      <c r="W90" s="10" t="s">
        <v>1807</v>
      </c>
    </row>
    <row r="91" spans="2:23" ht="25.2" customHeight="1" x14ac:dyDescent="0.25">
      <c r="B91" s="16" t="s">
        <v>1347</v>
      </c>
      <c r="C91" s="17">
        <v>100</v>
      </c>
      <c r="D91" s="62">
        <v>0.1500934912431591</v>
      </c>
      <c r="E91" s="62" t="s">
        <v>1908</v>
      </c>
      <c r="F91" s="62">
        <v>1.2641410512118931</v>
      </c>
      <c r="G91" s="62" t="s">
        <v>1808</v>
      </c>
      <c r="H91" s="62">
        <v>7.2497179842302613</v>
      </c>
      <c r="I91" s="62" t="s">
        <v>1808</v>
      </c>
      <c r="J91" s="62">
        <v>59.08726140062668</v>
      </c>
      <c r="K91" s="62" t="s">
        <v>1808</v>
      </c>
      <c r="L91" s="62">
        <v>1.7414087725701615E-2</v>
      </c>
      <c r="M91" s="62" t="s">
        <v>1808</v>
      </c>
      <c r="N91" s="62">
        <v>7.4563882525500716E-3</v>
      </c>
      <c r="O91" s="62" t="s">
        <v>1808</v>
      </c>
      <c r="P91" s="62">
        <v>0.31455466711208857</v>
      </c>
      <c r="Q91" s="62" t="s">
        <v>1908</v>
      </c>
      <c r="R91" s="62">
        <v>3.3339182003122043</v>
      </c>
      <c r="S91" s="62" t="s">
        <v>1808</v>
      </c>
      <c r="T91" s="54">
        <v>1.1638448120330552E-2</v>
      </c>
      <c r="U91" s="62" t="s">
        <v>1807</v>
      </c>
      <c r="V91" s="54">
        <v>8.9800581084983708</v>
      </c>
      <c r="W91" s="10" t="s">
        <v>1808</v>
      </c>
    </row>
    <row r="92" spans="2:23" ht="25.2" customHeight="1" x14ac:dyDescent="0.25">
      <c r="B92" s="16" t="s">
        <v>1347</v>
      </c>
      <c r="C92" s="18">
        <v>200</v>
      </c>
      <c r="D92" s="62">
        <v>0.23396529957166423</v>
      </c>
      <c r="E92" s="62" t="s">
        <v>1807</v>
      </c>
      <c r="F92" s="62">
        <v>0.43715694385933901</v>
      </c>
      <c r="G92" s="62" t="s">
        <v>1808</v>
      </c>
      <c r="H92" s="62">
        <v>8.0322271604553561E-2</v>
      </c>
      <c r="I92" s="62" t="s">
        <v>1908</v>
      </c>
      <c r="J92" s="62">
        <v>0.22452119392065023</v>
      </c>
      <c r="K92" s="62" t="s">
        <v>1908</v>
      </c>
      <c r="L92" s="62">
        <v>1.1187685981930489E-2</v>
      </c>
      <c r="M92" s="62" t="s">
        <v>1807</v>
      </c>
      <c r="N92" s="62">
        <v>1.1916448555232603E-3</v>
      </c>
      <c r="O92" s="62" t="s">
        <v>1908</v>
      </c>
      <c r="P92" s="62">
        <v>3.1604721343271309E-2</v>
      </c>
      <c r="Q92" s="62" t="s">
        <v>1908</v>
      </c>
      <c r="R92" s="62">
        <v>3.9970229064386622</v>
      </c>
      <c r="S92" s="62" t="s">
        <v>1808</v>
      </c>
      <c r="T92" s="54" t="s">
        <v>1907</v>
      </c>
      <c r="U92" s="62" t="s">
        <v>1808</v>
      </c>
      <c r="V92" s="54">
        <v>5.8021184136461817E-3</v>
      </c>
      <c r="W92" s="10" t="s">
        <v>1908</v>
      </c>
    </row>
    <row r="93" spans="2:23" ht="25.2" customHeight="1" x14ac:dyDescent="0.25">
      <c r="B93" s="16" t="s">
        <v>1347</v>
      </c>
      <c r="C93" s="17">
        <v>300</v>
      </c>
      <c r="D93" s="62">
        <v>0.34046474309752772</v>
      </c>
      <c r="E93" s="62" t="s">
        <v>1807</v>
      </c>
      <c r="F93" s="62">
        <v>0.81956638574333396</v>
      </c>
      <c r="G93" s="62" t="s">
        <v>1808</v>
      </c>
      <c r="H93" s="62">
        <v>6.4474281694393838</v>
      </c>
      <c r="I93" s="62" t="s">
        <v>1808</v>
      </c>
      <c r="J93" s="62">
        <v>16.515265156566624</v>
      </c>
      <c r="K93" s="62" t="s">
        <v>1808</v>
      </c>
      <c r="L93" s="62">
        <v>2.2253751790170553E-2</v>
      </c>
      <c r="M93" s="62" t="s">
        <v>1808</v>
      </c>
      <c r="N93" s="62">
        <v>4.7656478611222894E-3</v>
      </c>
      <c r="O93" s="62" t="s">
        <v>1808</v>
      </c>
      <c r="P93" s="62">
        <v>0.15802707853536155</v>
      </c>
      <c r="Q93" s="62" t="s">
        <v>1908</v>
      </c>
      <c r="R93" s="62">
        <v>4.6836569591839154</v>
      </c>
      <c r="S93" s="62" t="s">
        <v>1808</v>
      </c>
      <c r="T93" s="54">
        <v>3.9843699870535489E-3</v>
      </c>
      <c r="U93" s="62" t="s">
        <v>1908</v>
      </c>
      <c r="V93" s="54">
        <v>4.298045126535877</v>
      </c>
      <c r="W93" s="10" t="s">
        <v>1808</v>
      </c>
    </row>
    <row r="94" spans="2:23" ht="25.2" customHeight="1" x14ac:dyDescent="0.25">
      <c r="B94" s="16" t="s">
        <v>1347</v>
      </c>
      <c r="C94" s="18">
        <v>400</v>
      </c>
      <c r="D94" s="62">
        <v>5.3780321478210366E-2</v>
      </c>
      <c r="E94" s="62" t="s">
        <v>1908</v>
      </c>
      <c r="F94" s="62">
        <v>0.25232421382099857</v>
      </c>
      <c r="G94" s="62" t="s">
        <v>1807</v>
      </c>
      <c r="H94" s="62">
        <v>0.10139936741950803</v>
      </c>
      <c r="I94" s="62" t="s">
        <v>1908</v>
      </c>
      <c r="J94" s="62">
        <v>0.36615769169776857</v>
      </c>
      <c r="K94" s="62" t="s">
        <v>1908</v>
      </c>
      <c r="L94" s="62">
        <v>8.9721855492176893E-3</v>
      </c>
      <c r="M94" s="62" t="s">
        <v>1807</v>
      </c>
      <c r="N94" s="62">
        <v>1.514724494628638E-3</v>
      </c>
      <c r="O94" s="62" t="s">
        <v>1807</v>
      </c>
      <c r="P94" s="62" t="s">
        <v>1907</v>
      </c>
      <c r="Q94" s="62" t="s">
        <v>1808</v>
      </c>
      <c r="R94" s="62">
        <v>3.4115096270878671</v>
      </c>
      <c r="S94" s="62" t="s">
        <v>1808</v>
      </c>
      <c r="T94" s="54">
        <v>7.3999653954413822E-5</v>
      </c>
      <c r="U94" s="62" t="s">
        <v>1908</v>
      </c>
      <c r="V94" s="54" t="s">
        <v>1907</v>
      </c>
      <c r="W94" s="10" t="s">
        <v>1808</v>
      </c>
    </row>
    <row r="95" spans="2:23" ht="25.2" customHeight="1" x14ac:dyDescent="0.25">
      <c r="B95" s="16" t="s">
        <v>1347</v>
      </c>
      <c r="C95" s="18">
        <v>500</v>
      </c>
      <c r="D95" s="62">
        <v>0.14497508590997463</v>
      </c>
      <c r="E95" s="62" t="s">
        <v>1908</v>
      </c>
      <c r="F95" s="62">
        <v>0.41228774010738045</v>
      </c>
      <c r="G95" s="62" t="s">
        <v>1808</v>
      </c>
      <c r="H95" s="62">
        <v>8.5905384376358779E-2</v>
      </c>
      <c r="I95" s="62" t="s">
        <v>1908</v>
      </c>
      <c r="J95" s="62">
        <v>0.71855088366779918</v>
      </c>
      <c r="K95" s="62" t="s">
        <v>1908</v>
      </c>
      <c r="L95" s="62">
        <v>9.5941788991284107E-3</v>
      </c>
      <c r="M95" s="62" t="s">
        <v>1807</v>
      </c>
      <c r="N95" s="62">
        <v>1.1367130483784119E-3</v>
      </c>
      <c r="O95" s="62" t="s">
        <v>1908</v>
      </c>
      <c r="P95" s="62">
        <v>5.0287502350100891E-2</v>
      </c>
      <c r="Q95" s="62" t="s">
        <v>1908</v>
      </c>
      <c r="R95" s="62">
        <v>3.5540763927789589</v>
      </c>
      <c r="S95" s="62" t="s">
        <v>1808</v>
      </c>
      <c r="T95" s="54">
        <v>1.3585611514730359E-4</v>
      </c>
      <c r="U95" s="62" t="s">
        <v>1908</v>
      </c>
      <c r="V95" s="54" t="s">
        <v>1907</v>
      </c>
      <c r="W95" s="10" t="s">
        <v>1808</v>
      </c>
    </row>
    <row r="96" spans="2:23" ht="25.2" customHeight="1" x14ac:dyDescent="0.25">
      <c r="B96" s="16" t="s">
        <v>1348</v>
      </c>
      <c r="C96" s="17">
        <v>100</v>
      </c>
      <c r="D96" s="62">
        <v>0.12575408486013798</v>
      </c>
      <c r="E96" s="62" t="s">
        <v>1908</v>
      </c>
      <c r="F96" s="62">
        <v>0.48518230535235063</v>
      </c>
      <c r="G96" s="62" t="s">
        <v>1808</v>
      </c>
      <c r="H96" s="62">
        <v>5.2482180032546941E-2</v>
      </c>
      <c r="I96" s="62" t="s">
        <v>1908</v>
      </c>
      <c r="J96" s="62">
        <v>0.84081102666235874</v>
      </c>
      <c r="K96" s="62" t="s">
        <v>1807</v>
      </c>
      <c r="L96" s="62">
        <v>1.7194794654678349E-2</v>
      </c>
      <c r="M96" s="62" t="s">
        <v>1808</v>
      </c>
      <c r="N96" s="62">
        <v>4.6030509796617641E-3</v>
      </c>
      <c r="O96" s="62" t="s">
        <v>1808</v>
      </c>
      <c r="P96" s="62">
        <v>8.3283059642663915E-2</v>
      </c>
      <c r="Q96" s="62" t="s">
        <v>1908</v>
      </c>
      <c r="R96" s="62">
        <v>3.0379785313559911</v>
      </c>
      <c r="S96" s="62" t="s">
        <v>1808</v>
      </c>
      <c r="T96" s="54">
        <v>3.8870470117391193E-4</v>
      </c>
      <c r="U96" s="62" t="s">
        <v>1908</v>
      </c>
      <c r="V96" s="54">
        <v>1.9470908660779763E-2</v>
      </c>
      <c r="W96" s="10" t="s">
        <v>1908</v>
      </c>
    </row>
    <row r="97" spans="2:23" ht="25.2" customHeight="1" x14ac:dyDescent="0.25">
      <c r="B97" s="16" t="s">
        <v>1348</v>
      </c>
      <c r="C97" s="18">
        <v>200</v>
      </c>
      <c r="D97" s="62">
        <v>0.10677981029395046</v>
      </c>
      <c r="E97" s="62" t="s">
        <v>1908</v>
      </c>
      <c r="F97" s="62">
        <v>0.4734745227436627</v>
      </c>
      <c r="G97" s="62" t="s">
        <v>1808</v>
      </c>
      <c r="H97" s="62">
        <v>1.5962036770998362</v>
      </c>
      <c r="I97" s="62" t="s">
        <v>1808</v>
      </c>
      <c r="J97" s="62">
        <v>2.0599281972879075</v>
      </c>
      <c r="K97" s="62" t="s">
        <v>1807</v>
      </c>
      <c r="L97" s="62">
        <v>1.5181397138536513E-2</v>
      </c>
      <c r="M97" s="62" t="s">
        <v>1808</v>
      </c>
      <c r="N97" s="62">
        <v>5.3682123354598776E-3</v>
      </c>
      <c r="O97" s="62" t="s">
        <v>1808</v>
      </c>
      <c r="P97" s="62">
        <v>2.8375828995451928E-2</v>
      </c>
      <c r="Q97" s="62" t="s">
        <v>1908</v>
      </c>
      <c r="R97" s="62">
        <v>3.645901885676341</v>
      </c>
      <c r="S97" s="62" t="s">
        <v>1808</v>
      </c>
      <c r="T97" s="54">
        <v>7.2957883693507543E-4</v>
      </c>
      <c r="U97" s="62" t="s">
        <v>1908</v>
      </c>
      <c r="V97" s="54">
        <v>0.57574283701834728</v>
      </c>
      <c r="W97" s="10" t="s">
        <v>1808</v>
      </c>
    </row>
    <row r="98" spans="2:23" ht="25.2" customHeight="1" x14ac:dyDescent="0.25">
      <c r="B98" s="16" t="s">
        <v>1348</v>
      </c>
      <c r="C98" s="17">
        <v>300</v>
      </c>
      <c r="D98" s="62">
        <v>0.56353034926868062</v>
      </c>
      <c r="E98" s="62" t="s">
        <v>1807</v>
      </c>
      <c r="F98" s="62">
        <v>0.51874523725967459</v>
      </c>
      <c r="G98" s="62" t="s">
        <v>1808</v>
      </c>
      <c r="H98" s="62">
        <v>0.50204391459040032</v>
      </c>
      <c r="I98" s="62" t="s">
        <v>1807</v>
      </c>
      <c r="J98" s="62">
        <v>0.90382980990549133</v>
      </c>
      <c r="K98" s="62" t="s">
        <v>1908</v>
      </c>
      <c r="L98" s="62">
        <v>1.459305200053633E-2</v>
      </c>
      <c r="M98" s="62" t="s">
        <v>1808</v>
      </c>
      <c r="N98" s="62">
        <v>4.528404401752081E-3</v>
      </c>
      <c r="O98" s="62" t="s">
        <v>1807</v>
      </c>
      <c r="P98" s="62">
        <v>3.7281326987227414E-2</v>
      </c>
      <c r="Q98" s="62" t="s">
        <v>1908</v>
      </c>
      <c r="R98" s="62">
        <v>3.8094398802546632</v>
      </c>
      <c r="S98" s="62" t="s">
        <v>1808</v>
      </c>
      <c r="T98" s="54">
        <v>1.6673585669750945E-4</v>
      </c>
      <c r="U98" s="62" t="s">
        <v>1908</v>
      </c>
      <c r="V98" s="54">
        <v>0.10457458423758802</v>
      </c>
      <c r="W98" s="10" t="s">
        <v>1908</v>
      </c>
    </row>
    <row r="99" spans="2:23" ht="25.2" customHeight="1" x14ac:dyDescent="0.25">
      <c r="B99" s="16" t="s">
        <v>1348</v>
      </c>
      <c r="C99" s="18">
        <v>400</v>
      </c>
      <c r="D99" s="62">
        <v>0.27371166992648105</v>
      </c>
      <c r="E99" s="62" t="s">
        <v>1807</v>
      </c>
      <c r="F99" s="62">
        <v>0.80476288106150107</v>
      </c>
      <c r="G99" s="62" t="s">
        <v>1808</v>
      </c>
      <c r="H99" s="62">
        <v>18.39757018907018</v>
      </c>
      <c r="I99" s="62" t="s">
        <v>1808</v>
      </c>
      <c r="J99" s="62">
        <v>10.322019207422136</v>
      </c>
      <c r="K99" s="62" t="s">
        <v>1808</v>
      </c>
      <c r="L99" s="62">
        <v>1.8220314476813642E-2</v>
      </c>
      <c r="M99" s="62" t="s">
        <v>1808</v>
      </c>
      <c r="N99" s="62">
        <v>7.0600797477996715E-3</v>
      </c>
      <c r="O99" s="62" t="s">
        <v>1808</v>
      </c>
      <c r="P99" s="62">
        <v>0.41543680114027842</v>
      </c>
      <c r="Q99" s="62" t="s">
        <v>1908</v>
      </c>
      <c r="R99" s="62">
        <v>4.2976298029055284</v>
      </c>
      <c r="S99" s="62" t="s">
        <v>1808</v>
      </c>
      <c r="T99" s="54">
        <v>8.7094402635248275E-3</v>
      </c>
      <c r="U99" s="62" t="s">
        <v>1807</v>
      </c>
      <c r="V99" s="54">
        <v>4.6190121708719225</v>
      </c>
      <c r="W99" s="10" t="s">
        <v>1808</v>
      </c>
    </row>
    <row r="100" spans="2:23" ht="25.2" customHeight="1" x14ac:dyDescent="0.25">
      <c r="B100" s="16" t="s">
        <v>1348</v>
      </c>
      <c r="C100" s="18">
        <v>500</v>
      </c>
      <c r="D100" s="62">
        <v>0.42352446271507266</v>
      </c>
      <c r="E100" s="62" t="s">
        <v>1807</v>
      </c>
      <c r="F100" s="62">
        <v>0.98703113379199747</v>
      </c>
      <c r="G100" s="62" t="s">
        <v>1808</v>
      </c>
      <c r="H100" s="62">
        <v>0.66197105383052079</v>
      </c>
      <c r="I100" s="62" t="s">
        <v>1807</v>
      </c>
      <c r="J100" s="62">
        <v>1.6713501817052985</v>
      </c>
      <c r="K100" s="62" t="s">
        <v>1807</v>
      </c>
      <c r="L100" s="62">
        <v>2.0367140289267758E-2</v>
      </c>
      <c r="M100" s="62" t="s">
        <v>1808</v>
      </c>
      <c r="N100" s="62">
        <v>6.6164982051403632E-3</v>
      </c>
      <c r="O100" s="62" t="s">
        <v>1808</v>
      </c>
      <c r="P100" s="62">
        <v>0.42886647161874297</v>
      </c>
      <c r="Q100" s="62" t="s">
        <v>1908</v>
      </c>
      <c r="R100" s="62">
        <v>5.3693770807533765</v>
      </c>
      <c r="S100" s="62" t="s">
        <v>1808</v>
      </c>
      <c r="T100" s="54">
        <v>1.2222822102048072E-3</v>
      </c>
      <c r="U100" s="62" t="s">
        <v>1908</v>
      </c>
      <c r="V100" s="54">
        <v>0.3451476554052969</v>
      </c>
      <c r="W100" s="10" t="s">
        <v>1807</v>
      </c>
    </row>
    <row r="101" spans="2:23" ht="25.2" customHeight="1" x14ac:dyDescent="0.25">
      <c r="B101" s="16" t="s">
        <v>1349</v>
      </c>
      <c r="C101" s="17">
        <v>100</v>
      </c>
      <c r="D101" s="62">
        <v>9.3662452602465168E-2</v>
      </c>
      <c r="E101" s="62" t="s">
        <v>1908</v>
      </c>
      <c r="F101" s="62">
        <v>0.87168993333137579</v>
      </c>
      <c r="G101" s="62" t="s">
        <v>1808</v>
      </c>
      <c r="H101" s="62">
        <v>0.79224684327038253</v>
      </c>
      <c r="I101" s="62" t="s">
        <v>1808</v>
      </c>
      <c r="J101" s="62">
        <v>1.4020986910587729</v>
      </c>
      <c r="K101" s="62" t="s">
        <v>1807</v>
      </c>
      <c r="L101" s="62">
        <v>1.2122260394394095E-2</v>
      </c>
      <c r="M101" s="62" t="s">
        <v>1807</v>
      </c>
      <c r="N101" s="62">
        <v>1.8591134860523927E-3</v>
      </c>
      <c r="O101" s="62" t="s">
        <v>1807</v>
      </c>
      <c r="P101" s="62">
        <v>9.8945440426062136E-3</v>
      </c>
      <c r="Q101" s="62" t="s">
        <v>1908</v>
      </c>
      <c r="R101" s="62">
        <v>0.98579794069733129</v>
      </c>
      <c r="S101" s="62" t="s">
        <v>1808</v>
      </c>
      <c r="T101" s="54">
        <v>3.9603564197248682E-4</v>
      </c>
      <c r="U101" s="62" t="s">
        <v>1908</v>
      </c>
      <c r="V101" s="54">
        <v>0.29963156968983218</v>
      </c>
      <c r="W101" s="10" t="s">
        <v>1807</v>
      </c>
    </row>
    <row r="102" spans="2:23" ht="25.2" customHeight="1" x14ac:dyDescent="0.25">
      <c r="B102" s="16" t="s">
        <v>1349</v>
      </c>
      <c r="C102" s="18">
        <v>200</v>
      </c>
      <c r="D102" s="62">
        <v>0.27183409487423882</v>
      </c>
      <c r="E102" s="62" t="s">
        <v>1807</v>
      </c>
      <c r="F102" s="62">
        <v>0.19529106094338392</v>
      </c>
      <c r="G102" s="62" t="s">
        <v>1807</v>
      </c>
      <c r="H102" s="62">
        <v>0.3175902842261154</v>
      </c>
      <c r="I102" s="62" t="s">
        <v>1807</v>
      </c>
      <c r="J102" s="62">
        <v>0.886628386287446</v>
      </c>
      <c r="K102" s="62" t="s">
        <v>1807</v>
      </c>
      <c r="L102" s="62">
        <v>1.1902777265096341E-2</v>
      </c>
      <c r="M102" s="62" t="s">
        <v>1807</v>
      </c>
      <c r="N102" s="62">
        <v>2.5052600983770153E-3</v>
      </c>
      <c r="O102" s="62" t="s">
        <v>1807</v>
      </c>
      <c r="P102" s="62">
        <v>0.16938535990935866</v>
      </c>
      <c r="Q102" s="62" t="s">
        <v>1908</v>
      </c>
      <c r="R102" s="62">
        <v>1.9139298891058518</v>
      </c>
      <c r="S102" s="62" t="s">
        <v>1808</v>
      </c>
      <c r="T102" s="54">
        <v>8.8690741712091543E-4</v>
      </c>
      <c r="U102" s="62" t="s">
        <v>1908</v>
      </c>
      <c r="V102" s="54">
        <v>0.17549985311548882</v>
      </c>
      <c r="W102" s="10" t="s">
        <v>1807</v>
      </c>
    </row>
    <row r="103" spans="2:23" ht="25.2" customHeight="1" x14ac:dyDescent="0.25">
      <c r="B103" s="16" t="s">
        <v>1349</v>
      </c>
      <c r="C103" s="17">
        <v>300</v>
      </c>
      <c r="D103" s="62">
        <v>0.11728318176054066</v>
      </c>
      <c r="E103" s="62" t="s">
        <v>1908</v>
      </c>
      <c r="F103" s="62">
        <v>0.33408942431443184</v>
      </c>
      <c r="G103" s="62" t="s">
        <v>1807</v>
      </c>
      <c r="H103" s="62">
        <v>0.41964152247765957</v>
      </c>
      <c r="I103" s="62" t="s">
        <v>1807</v>
      </c>
      <c r="J103" s="62">
        <v>0.84105063136363645</v>
      </c>
      <c r="K103" s="62" t="s">
        <v>1807</v>
      </c>
      <c r="L103" s="62">
        <v>1.4118839072669183E-2</v>
      </c>
      <c r="M103" s="62" t="s">
        <v>1808</v>
      </c>
      <c r="N103" s="62">
        <v>3.0342237167826944E-3</v>
      </c>
      <c r="O103" s="62" t="s">
        <v>1807</v>
      </c>
      <c r="P103" s="62">
        <v>0.16889306032940032</v>
      </c>
      <c r="Q103" s="62" t="s">
        <v>1908</v>
      </c>
      <c r="R103" s="62">
        <v>2.5970726512313438</v>
      </c>
      <c r="S103" s="62" t="s">
        <v>1808</v>
      </c>
      <c r="T103" s="54">
        <v>7.0089155175783705E-4</v>
      </c>
      <c r="U103" s="62" t="s">
        <v>1908</v>
      </c>
      <c r="V103" s="54">
        <v>0.16947805174160241</v>
      </c>
      <c r="W103" s="10" t="s">
        <v>1807</v>
      </c>
    </row>
    <row r="104" spans="2:23" ht="25.2" customHeight="1" x14ac:dyDescent="0.25">
      <c r="B104" s="16" t="s">
        <v>1349</v>
      </c>
      <c r="C104" s="18">
        <v>400</v>
      </c>
      <c r="D104" s="62">
        <v>0.3499080823506498</v>
      </c>
      <c r="E104" s="62" t="s">
        <v>1807</v>
      </c>
      <c r="F104" s="62">
        <v>0.4883743461086954</v>
      </c>
      <c r="G104" s="62" t="s">
        <v>1808</v>
      </c>
      <c r="H104" s="62">
        <v>0.27004956247395528</v>
      </c>
      <c r="I104" s="62" t="s">
        <v>1807</v>
      </c>
      <c r="J104" s="62">
        <v>0.65741846638642176</v>
      </c>
      <c r="K104" s="62" t="s">
        <v>1908</v>
      </c>
      <c r="L104" s="62">
        <v>1.8058534766467654E-2</v>
      </c>
      <c r="M104" s="62" t="s">
        <v>1808</v>
      </c>
      <c r="N104" s="62">
        <v>3.5723398077474044E-3</v>
      </c>
      <c r="O104" s="62" t="s">
        <v>1807</v>
      </c>
      <c r="P104" s="62">
        <v>9.288286593426797E-3</v>
      </c>
      <c r="Q104" s="62" t="s">
        <v>1908</v>
      </c>
      <c r="R104" s="62">
        <v>3.1631877899703276</v>
      </c>
      <c r="S104" s="62" t="s">
        <v>1808</v>
      </c>
      <c r="T104" s="54">
        <v>6.9542845011632225E-4</v>
      </c>
      <c r="U104" s="62" t="s">
        <v>1908</v>
      </c>
      <c r="V104" s="54">
        <v>0.15339565685421724</v>
      </c>
      <c r="W104" s="10" t="s">
        <v>1908</v>
      </c>
    </row>
    <row r="105" spans="2:23" ht="25.2" customHeight="1" x14ac:dyDescent="0.25">
      <c r="B105" s="16" t="s">
        <v>1349</v>
      </c>
      <c r="C105" s="18">
        <v>500</v>
      </c>
      <c r="D105" s="62">
        <v>0.33344818842445428</v>
      </c>
      <c r="E105" s="62" t="s">
        <v>1807</v>
      </c>
      <c r="F105" s="62">
        <v>0.63137310286261339</v>
      </c>
      <c r="G105" s="62" t="s">
        <v>1808</v>
      </c>
      <c r="H105" s="62">
        <v>0.86856121930594865</v>
      </c>
      <c r="I105" s="62" t="s">
        <v>1808</v>
      </c>
      <c r="J105" s="62">
        <v>1.5782839999534024</v>
      </c>
      <c r="K105" s="62" t="s">
        <v>1807</v>
      </c>
      <c r="L105" s="62">
        <v>2.1208176143988216E-2</v>
      </c>
      <c r="M105" s="62" t="s">
        <v>1808</v>
      </c>
      <c r="N105" s="62">
        <v>3.6100639605755091E-3</v>
      </c>
      <c r="O105" s="62" t="s">
        <v>1807</v>
      </c>
      <c r="P105" s="62">
        <v>9.8721201885214153E-3</v>
      </c>
      <c r="Q105" s="62" t="s">
        <v>1908</v>
      </c>
      <c r="R105" s="62">
        <v>3.180329509379606</v>
      </c>
      <c r="S105" s="62" t="s">
        <v>1808</v>
      </c>
      <c r="T105" s="54">
        <v>2.3253745555704081E-3</v>
      </c>
      <c r="U105" s="62" t="s">
        <v>1908</v>
      </c>
      <c r="V105" s="54">
        <v>0.33860801049068329</v>
      </c>
      <c r="W105" s="10" t="s">
        <v>1807</v>
      </c>
    </row>
    <row r="106" spans="2:23" ht="25.2" customHeight="1" x14ac:dyDescent="0.25">
      <c r="B106" s="16" t="s">
        <v>1350</v>
      </c>
      <c r="C106" s="17">
        <v>100</v>
      </c>
      <c r="D106" s="62">
        <v>1.0776434609289787E-2</v>
      </c>
      <c r="E106" s="54" t="s">
        <v>1908</v>
      </c>
      <c r="F106" s="62">
        <v>27.635069167123845</v>
      </c>
      <c r="G106" s="54" t="s">
        <v>1808</v>
      </c>
      <c r="H106" s="62">
        <v>37.647761638812483</v>
      </c>
      <c r="I106" s="54" t="s">
        <v>1808</v>
      </c>
      <c r="J106" s="62">
        <v>110.41208523729667</v>
      </c>
      <c r="K106" s="54" t="s">
        <v>1808</v>
      </c>
      <c r="L106" s="62">
        <v>3.222508130638109E-2</v>
      </c>
      <c r="M106" s="54" t="s">
        <v>1808</v>
      </c>
      <c r="N106" s="62">
        <v>1.2625039636800395E-2</v>
      </c>
      <c r="O106" s="54" t="s">
        <v>1808</v>
      </c>
      <c r="P106" s="62">
        <v>2.260949908518648</v>
      </c>
      <c r="Q106" s="54" t="s">
        <v>1808</v>
      </c>
      <c r="R106" s="62">
        <v>1.3712966464623637</v>
      </c>
      <c r="S106" s="54" t="s">
        <v>1808</v>
      </c>
      <c r="T106" s="54">
        <v>0.23398401454255571</v>
      </c>
      <c r="U106" s="54" t="s">
        <v>1808</v>
      </c>
      <c r="V106" s="54">
        <v>32.584971216393413</v>
      </c>
      <c r="W106" s="10" t="s">
        <v>1808</v>
      </c>
    </row>
    <row r="107" spans="2:23" ht="25.2" customHeight="1" x14ac:dyDescent="0.25">
      <c r="B107" s="16" t="s">
        <v>1351</v>
      </c>
      <c r="C107" s="18">
        <v>200</v>
      </c>
      <c r="D107" s="62">
        <v>0.35694086638297018</v>
      </c>
      <c r="E107" s="54" t="s">
        <v>1807</v>
      </c>
      <c r="F107" s="62">
        <v>70.960588522424089</v>
      </c>
      <c r="G107" s="54" t="s">
        <v>1808</v>
      </c>
      <c r="H107" s="62">
        <v>74.204462254984875</v>
      </c>
      <c r="I107" s="54" t="s">
        <v>1808</v>
      </c>
      <c r="J107" s="62">
        <v>254.59677402365764</v>
      </c>
      <c r="K107" s="54" t="s">
        <v>1808</v>
      </c>
      <c r="L107" s="62">
        <v>4.3020243088638367E-2</v>
      </c>
      <c r="M107" s="54" t="s">
        <v>1808</v>
      </c>
      <c r="N107" s="62">
        <v>3.0201153038059553E-2</v>
      </c>
      <c r="O107" s="54" t="s">
        <v>1808</v>
      </c>
      <c r="P107" s="62">
        <v>4.9864393526862667</v>
      </c>
      <c r="Q107" s="54" t="s">
        <v>1808</v>
      </c>
      <c r="R107" s="62">
        <v>4.0177577516017768</v>
      </c>
      <c r="S107" s="54" t="s">
        <v>1808</v>
      </c>
      <c r="T107" s="54">
        <v>0.46223183009495683</v>
      </c>
      <c r="U107" s="54" t="s">
        <v>1808</v>
      </c>
      <c r="V107" s="54">
        <v>72.286155465153399</v>
      </c>
      <c r="W107" s="10" t="s">
        <v>1808</v>
      </c>
    </row>
    <row r="108" spans="2:23" ht="25.2" customHeight="1" x14ac:dyDescent="0.25">
      <c r="B108" s="24" t="s">
        <v>1351</v>
      </c>
      <c r="C108" s="17">
        <v>300</v>
      </c>
      <c r="D108" s="62">
        <v>0.59077927252867113</v>
      </c>
      <c r="E108" s="54" t="s">
        <v>1807</v>
      </c>
      <c r="F108" s="62">
        <v>29.755455399824605</v>
      </c>
      <c r="G108" s="54" t="s">
        <v>1808</v>
      </c>
      <c r="H108" s="62">
        <v>48.383494490631293</v>
      </c>
      <c r="I108" s="54" t="s">
        <v>1808</v>
      </c>
      <c r="J108" s="62">
        <v>120.82758560540556</v>
      </c>
      <c r="K108" s="54" t="s">
        <v>1808</v>
      </c>
      <c r="L108" s="62">
        <v>4.3196961841302874E-2</v>
      </c>
      <c r="M108" s="54" t="s">
        <v>1808</v>
      </c>
      <c r="N108" s="62">
        <v>1.4449124551176857E-2</v>
      </c>
      <c r="O108" s="54" t="s">
        <v>1808</v>
      </c>
      <c r="P108" s="62">
        <v>2.1374084843281724</v>
      </c>
      <c r="Q108" s="54" t="s">
        <v>1808</v>
      </c>
      <c r="R108" s="62">
        <v>2.5498535136142255</v>
      </c>
      <c r="S108" s="54" t="s">
        <v>1808</v>
      </c>
      <c r="T108" s="54">
        <v>0.18525811202842429</v>
      </c>
      <c r="U108" s="54" t="s">
        <v>1808</v>
      </c>
      <c r="V108" s="54">
        <v>33.576829875932603</v>
      </c>
      <c r="W108" s="10" t="s">
        <v>1808</v>
      </c>
    </row>
    <row r="109" spans="2:23" ht="25.2" customHeight="1" x14ac:dyDescent="0.25">
      <c r="B109" s="24" t="s">
        <v>1351</v>
      </c>
      <c r="C109" s="18">
        <v>400</v>
      </c>
      <c r="D109" s="62">
        <v>0.34125166514027244</v>
      </c>
      <c r="E109" s="54" t="s">
        <v>1807</v>
      </c>
      <c r="F109" s="62">
        <v>8.6966132324280974</v>
      </c>
      <c r="G109" s="54" t="s">
        <v>1808</v>
      </c>
      <c r="H109" s="62">
        <v>25.12019032410473</v>
      </c>
      <c r="I109" s="54" t="s">
        <v>1808</v>
      </c>
      <c r="J109" s="62">
        <v>40.85009274049451</v>
      </c>
      <c r="K109" s="54" t="s">
        <v>1808</v>
      </c>
      <c r="L109" s="62">
        <v>4.0616323596714174E-2</v>
      </c>
      <c r="M109" s="54" t="s">
        <v>1808</v>
      </c>
      <c r="N109" s="62">
        <v>5.7594107385281704E-3</v>
      </c>
      <c r="O109" s="54" t="s">
        <v>1808</v>
      </c>
      <c r="P109" s="62">
        <v>0.63313929254090262</v>
      </c>
      <c r="Q109" s="54" t="s">
        <v>1807</v>
      </c>
      <c r="R109" s="62">
        <v>1.9066739244836333</v>
      </c>
      <c r="S109" s="54" t="s">
        <v>1808</v>
      </c>
      <c r="T109" s="54">
        <v>6.055802172674804E-2</v>
      </c>
      <c r="U109" s="54" t="s">
        <v>1808</v>
      </c>
      <c r="V109" s="54">
        <v>12.104368840647989</v>
      </c>
      <c r="W109" s="10" t="s">
        <v>1808</v>
      </c>
    </row>
    <row r="110" spans="2:23" ht="25.2" customHeight="1" x14ac:dyDescent="0.25">
      <c r="B110" s="24" t="s">
        <v>1350</v>
      </c>
      <c r="C110" s="18">
        <v>500</v>
      </c>
      <c r="D110" s="62">
        <v>0.10406871728598578</v>
      </c>
      <c r="E110" s="54" t="s">
        <v>1807</v>
      </c>
      <c r="F110" s="62">
        <v>3.0597442582810133</v>
      </c>
      <c r="G110" s="54" t="s">
        <v>1808</v>
      </c>
      <c r="H110" s="62">
        <v>6.5013322284441157</v>
      </c>
      <c r="I110" s="54" t="s">
        <v>1808</v>
      </c>
      <c r="J110" s="62">
        <v>11.327374651766076</v>
      </c>
      <c r="K110" s="54" t="s">
        <v>1808</v>
      </c>
      <c r="L110" s="62">
        <v>2.7656812336635354E-2</v>
      </c>
      <c r="M110" s="54" t="s">
        <v>1808</v>
      </c>
      <c r="N110" s="62">
        <v>2.2706204686356122E-3</v>
      </c>
      <c r="O110" s="54" t="s">
        <v>1808</v>
      </c>
      <c r="P110" s="62">
        <v>0.27108010036597796</v>
      </c>
      <c r="Q110" s="54" t="s">
        <v>1807</v>
      </c>
      <c r="R110" s="62">
        <v>1.0863836781204343</v>
      </c>
      <c r="S110" s="54" t="s">
        <v>1808</v>
      </c>
      <c r="T110" s="54">
        <v>1.601341039784606E-2</v>
      </c>
      <c r="U110" s="54" t="s">
        <v>1808</v>
      </c>
      <c r="V110" s="54">
        <v>3.9076308738882348</v>
      </c>
      <c r="W110" s="10" t="s">
        <v>1808</v>
      </c>
    </row>
    <row r="111" spans="2:23" ht="25.2" customHeight="1" x14ac:dyDescent="0.25">
      <c r="B111" s="24" t="s">
        <v>1352</v>
      </c>
      <c r="C111" s="18">
        <v>100</v>
      </c>
      <c r="D111" s="62">
        <v>5.6972750108374416E-2</v>
      </c>
      <c r="E111" s="54" t="s">
        <v>1908</v>
      </c>
      <c r="F111" s="62">
        <v>18.110026329090982</v>
      </c>
      <c r="G111" s="54" t="s">
        <v>1808</v>
      </c>
      <c r="H111" s="62">
        <v>66.040415735899188</v>
      </c>
      <c r="I111" s="54" t="s">
        <v>1808</v>
      </c>
      <c r="J111" s="62">
        <v>258.23248074495325</v>
      </c>
      <c r="K111" s="54" t="s">
        <v>1808</v>
      </c>
      <c r="L111" s="62">
        <v>2.5716538808152573E-2</v>
      </c>
      <c r="M111" s="54" t="s">
        <v>1808</v>
      </c>
      <c r="N111" s="62">
        <v>1.6765609003794087E-2</v>
      </c>
      <c r="O111" s="54" t="s">
        <v>1808</v>
      </c>
      <c r="P111" s="62">
        <v>3.5393317164822675</v>
      </c>
      <c r="Q111" s="54" t="s">
        <v>1808</v>
      </c>
      <c r="R111" s="62">
        <v>2.0178157325995874</v>
      </c>
      <c r="S111" s="54" t="s">
        <v>1808</v>
      </c>
      <c r="T111" s="54">
        <v>1.0465534405636121</v>
      </c>
      <c r="U111" s="54" t="s">
        <v>1808</v>
      </c>
      <c r="V111" s="54">
        <v>66.69851037642097</v>
      </c>
      <c r="W111" s="10" t="s">
        <v>1808</v>
      </c>
    </row>
    <row r="112" spans="2:23" ht="25.2" customHeight="1" x14ac:dyDescent="0.25">
      <c r="B112" s="24" t="s">
        <v>1352</v>
      </c>
      <c r="C112" s="17">
        <v>200</v>
      </c>
      <c r="D112" s="62">
        <v>0.157468919741722</v>
      </c>
      <c r="E112" s="54" t="s">
        <v>1908</v>
      </c>
      <c r="F112" s="62">
        <v>10.280020487757335</v>
      </c>
      <c r="G112" s="54" t="s">
        <v>1808</v>
      </c>
      <c r="H112" s="62">
        <v>72.133682688702507</v>
      </c>
      <c r="I112" s="54" t="s">
        <v>1808</v>
      </c>
      <c r="J112" s="62">
        <v>252.91578566781018</v>
      </c>
      <c r="K112" s="54" t="s">
        <v>1808</v>
      </c>
      <c r="L112" s="62">
        <v>2.647302920585896E-2</v>
      </c>
      <c r="M112" s="54" t="s">
        <v>1808</v>
      </c>
      <c r="N112" s="62">
        <v>1.01068901760343E-2</v>
      </c>
      <c r="O112" s="54" t="s">
        <v>1808</v>
      </c>
      <c r="P112" s="62">
        <v>1.7608624056262965</v>
      </c>
      <c r="Q112" s="54" t="s">
        <v>1808</v>
      </c>
      <c r="R112" s="62">
        <v>1.8902352149328558</v>
      </c>
      <c r="S112" s="54" t="s">
        <v>1808</v>
      </c>
      <c r="T112" s="54">
        <v>0.46518732921513167</v>
      </c>
      <c r="U112" s="54" t="s">
        <v>1808</v>
      </c>
      <c r="V112" s="54">
        <v>69.074559923215887</v>
      </c>
      <c r="W112" s="10" t="s">
        <v>1808</v>
      </c>
    </row>
    <row r="113" spans="2:23" ht="25.2" customHeight="1" x14ac:dyDescent="0.25">
      <c r="B113" s="24" t="s">
        <v>1352</v>
      </c>
      <c r="C113" s="18">
        <v>300</v>
      </c>
      <c r="D113" s="62">
        <v>0.38415627861152818</v>
      </c>
      <c r="E113" s="54" t="s">
        <v>1808</v>
      </c>
      <c r="F113" s="62">
        <v>3.2944643709096764</v>
      </c>
      <c r="G113" s="54" t="s">
        <v>1808</v>
      </c>
      <c r="H113" s="62">
        <v>45.743443166554073</v>
      </c>
      <c r="I113" s="54" t="s">
        <v>1808</v>
      </c>
      <c r="J113" s="62">
        <v>140.1227957199788</v>
      </c>
      <c r="K113" s="54" t="s">
        <v>1808</v>
      </c>
      <c r="L113" s="62">
        <v>2.4185917493594253E-2</v>
      </c>
      <c r="M113" s="54" t="s">
        <v>1808</v>
      </c>
      <c r="N113" s="62">
        <v>4.3499237998098975E-3</v>
      </c>
      <c r="O113" s="54" t="s">
        <v>1808</v>
      </c>
      <c r="P113" s="62">
        <v>0.52635922176405814</v>
      </c>
      <c r="Q113" s="54" t="s">
        <v>1807</v>
      </c>
      <c r="R113" s="62">
        <v>1.6539417546766921</v>
      </c>
      <c r="S113" s="54" t="s">
        <v>1808</v>
      </c>
      <c r="T113" s="54">
        <v>0.13837174282364192</v>
      </c>
      <c r="U113" s="54" t="s">
        <v>1808</v>
      </c>
      <c r="V113" s="54">
        <v>14.292837341864796</v>
      </c>
      <c r="W113" s="10" t="s">
        <v>1808</v>
      </c>
    </row>
    <row r="114" spans="2:23" ht="25.2" customHeight="1" x14ac:dyDescent="0.25">
      <c r="B114" s="24" t="s">
        <v>1352</v>
      </c>
      <c r="C114" s="18">
        <v>400</v>
      </c>
      <c r="D114" s="62">
        <v>2.2727428041386381E-2</v>
      </c>
      <c r="E114" s="54" t="s">
        <v>1908</v>
      </c>
      <c r="F114" s="62">
        <v>0.66881835027992664</v>
      </c>
      <c r="G114" s="54" t="s">
        <v>1808</v>
      </c>
      <c r="H114" s="62">
        <v>2.3855852310557508</v>
      </c>
      <c r="I114" s="54" t="s">
        <v>1808</v>
      </c>
      <c r="J114" s="62">
        <v>47.271000783457239</v>
      </c>
      <c r="K114" s="54" t="s">
        <v>1808</v>
      </c>
      <c r="L114" s="62">
        <v>1.2491493280869537E-2</v>
      </c>
      <c r="M114" s="54" t="s">
        <v>1808</v>
      </c>
      <c r="N114" s="62">
        <v>1.4274877331996222E-3</v>
      </c>
      <c r="O114" s="54" t="s">
        <v>1808</v>
      </c>
      <c r="P114" s="62">
        <v>6.58792226899136E-2</v>
      </c>
      <c r="Q114" s="54" t="s">
        <v>1908</v>
      </c>
      <c r="R114" s="62">
        <v>0.72032586728988202</v>
      </c>
      <c r="S114" s="54" t="s">
        <v>1808</v>
      </c>
      <c r="T114" s="54">
        <v>3.5310776375140449E-2</v>
      </c>
      <c r="U114" s="54" t="s">
        <v>1808</v>
      </c>
      <c r="V114" s="54">
        <v>5.2209944514609923</v>
      </c>
      <c r="W114" s="10" t="s">
        <v>1808</v>
      </c>
    </row>
    <row r="115" spans="2:23" ht="25.2" customHeight="1" x14ac:dyDescent="0.25">
      <c r="B115" s="24" t="s">
        <v>1353</v>
      </c>
      <c r="C115" s="17">
        <v>500</v>
      </c>
      <c r="D115" s="62" t="s">
        <v>1907</v>
      </c>
      <c r="E115" s="54" t="s">
        <v>1808</v>
      </c>
      <c r="F115" s="62">
        <v>0.10405126697040044</v>
      </c>
      <c r="G115" s="54" t="s">
        <v>1808</v>
      </c>
      <c r="H115" s="62">
        <v>0.27379382838733812</v>
      </c>
      <c r="I115" s="54" t="s">
        <v>1808</v>
      </c>
      <c r="J115" s="62">
        <v>1.8855391987709533</v>
      </c>
      <c r="K115" s="54" t="s">
        <v>1808</v>
      </c>
      <c r="L115" s="62">
        <v>4.567015713431018E-3</v>
      </c>
      <c r="M115" s="54" t="s">
        <v>1808</v>
      </c>
      <c r="N115" s="62">
        <v>3.2855464303560745E-4</v>
      </c>
      <c r="O115" s="54" t="s">
        <v>1807</v>
      </c>
      <c r="P115" s="62" t="s">
        <v>1907</v>
      </c>
      <c r="Q115" s="54" t="s">
        <v>1808</v>
      </c>
      <c r="R115" s="62">
        <v>0.19417984933911894</v>
      </c>
      <c r="S115" s="54" t="s">
        <v>1808</v>
      </c>
      <c r="T115" s="54">
        <v>5.7910722019582448E-3</v>
      </c>
      <c r="U115" s="54" t="s">
        <v>1808</v>
      </c>
      <c r="V115" s="54">
        <v>1.2660167912295894</v>
      </c>
      <c r="W115" s="10" t="s">
        <v>1808</v>
      </c>
    </row>
    <row r="116" spans="2:23" ht="25.2" customHeight="1" x14ac:dyDescent="0.25">
      <c r="B116" s="24" t="s">
        <v>1354</v>
      </c>
      <c r="C116" s="18">
        <v>100</v>
      </c>
      <c r="D116" s="62" t="s">
        <v>1907</v>
      </c>
      <c r="E116" s="54" t="s">
        <v>1808</v>
      </c>
      <c r="F116" s="62">
        <v>7.2277654193113836</v>
      </c>
      <c r="G116" s="54" t="s">
        <v>1808</v>
      </c>
      <c r="H116" s="62">
        <v>81.497433235406902</v>
      </c>
      <c r="I116" s="54" t="s">
        <v>1808</v>
      </c>
      <c r="J116" s="62">
        <v>195.86766225306761</v>
      </c>
      <c r="K116" s="54" t="s">
        <v>1808</v>
      </c>
      <c r="L116" s="62">
        <v>2.900674177708705E-2</v>
      </c>
      <c r="M116" s="54" t="s">
        <v>1808</v>
      </c>
      <c r="N116" s="62">
        <v>1.0550100002596468E-2</v>
      </c>
      <c r="O116" s="54" t="s">
        <v>1808</v>
      </c>
      <c r="P116" s="62">
        <v>2.1348341794480437</v>
      </c>
      <c r="Q116" s="54" t="s">
        <v>1808</v>
      </c>
      <c r="R116" s="62">
        <v>0.66828147074077682</v>
      </c>
      <c r="S116" s="54" t="s">
        <v>1808</v>
      </c>
      <c r="T116" s="54">
        <v>1.5942045509282294</v>
      </c>
      <c r="U116" s="54" t="s">
        <v>1808</v>
      </c>
      <c r="V116" s="54">
        <v>41.801698289764346</v>
      </c>
      <c r="W116" s="10" t="s">
        <v>1808</v>
      </c>
    </row>
    <row r="117" spans="2:23" ht="25.2" customHeight="1" x14ac:dyDescent="0.25">
      <c r="B117" s="24" t="s">
        <v>1355</v>
      </c>
      <c r="C117" s="17">
        <v>200</v>
      </c>
      <c r="D117" s="62" t="s">
        <v>1907</v>
      </c>
      <c r="E117" s="54" t="s">
        <v>1808</v>
      </c>
      <c r="F117" s="62">
        <v>7.2632412598124532</v>
      </c>
      <c r="G117" s="54" t="s">
        <v>1808</v>
      </c>
      <c r="H117" s="62">
        <v>54.105132990193582</v>
      </c>
      <c r="I117" s="54" t="s">
        <v>1808</v>
      </c>
      <c r="J117" s="62">
        <v>182.9933131516037</v>
      </c>
      <c r="K117" s="54" t="s">
        <v>1808</v>
      </c>
      <c r="L117" s="62">
        <v>3.1952295019051238E-2</v>
      </c>
      <c r="M117" s="54" t="s">
        <v>1808</v>
      </c>
      <c r="N117" s="62">
        <v>1.0376378372702328E-2</v>
      </c>
      <c r="O117" s="54" t="s">
        <v>1808</v>
      </c>
      <c r="P117" s="62">
        <v>2.3340201813124861</v>
      </c>
      <c r="Q117" s="54" t="s">
        <v>1808</v>
      </c>
      <c r="R117" s="62">
        <v>1.0769248479579254</v>
      </c>
      <c r="S117" s="54" t="s">
        <v>1808</v>
      </c>
      <c r="T117" s="54">
        <v>1.4908801803610046</v>
      </c>
      <c r="U117" s="54" t="s">
        <v>1808</v>
      </c>
      <c r="V117" s="54">
        <v>40.84302098845469</v>
      </c>
      <c r="W117" s="10" t="s">
        <v>1808</v>
      </c>
    </row>
    <row r="118" spans="2:23" ht="25.2" customHeight="1" x14ac:dyDescent="0.25">
      <c r="B118" s="24" t="s">
        <v>1355</v>
      </c>
      <c r="C118" s="18">
        <v>300</v>
      </c>
      <c r="D118" s="62">
        <v>0.32540513109912661</v>
      </c>
      <c r="E118" s="54" t="s">
        <v>1807</v>
      </c>
      <c r="F118" s="62">
        <v>6.7795661234209916</v>
      </c>
      <c r="G118" s="54" t="s">
        <v>1808</v>
      </c>
      <c r="H118" s="62">
        <v>43.578629335621947</v>
      </c>
      <c r="I118" s="54" t="s">
        <v>1808</v>
      </c>
      <c r="J118" s="62">
        <v>162.53005346079999</v>
      </c>
      <c r="K118" s="54" t="s">
        <v>1808</v>
      </c>
      <c r="L118" s="62">
        <v>2.8964247294123995E-2</v>
      </c>
      <c r="M118" s="54" t="s">
        <v>1808</v>
      </c>
      <c r="N118" s="62">
        <v>8.5790606419218866E-3</v>
      </c>
      <c r="O118" s="54" t="s">
        <v>1808</v>
      </c>
      <c r="P118" s="62">
        <v>2.061468744083661</v>
      </c>
      <c r="Q118" s="54" t="s">
        <v>1808</v>
      </c>
      <c r="R118" s="62">
        <v>0.73549215391287381</v>
      </c>
      <c r="S118" s="54" t="s">
        <v>1808</v>
      </c>
      <c r="T118" s="54">
        <v>1.2124059801300842</v>
      </c>
      <c r="U118" s="54" t="s">
        <v>1808</v>
      </c>
      <c r="V118" s="54">
        <v>36.420241360850966</v>
      </c>
      <c r="W118" s="10" t="s">
        <v>1808</v>
      </c>
    </row>
    <row r="119" spans="2:23" ht="25.2" customHeight="1" x14ac:dyDescent="0.25">
      <c r="B119" s="24" t="s">
        <v>1355</v>
      </c>
      <c r="C119" s="18">
        <v>400</v>
      </c>
      <c r="D119" s="62">
        <v>0.18344115412045164</v>
      </c>
      <c r="E119" s="54" t="s">
        <v>1807</v>
      </c>
      <c r="F119" s="62">
        <v>3.6213550611701675</v>
      </c>
      <c r="G119" s="54" t="s">
        <v>1808</v>
      </c>
      <c r="H119" s="62">
        <v>25.527555677217713</v>
      </c>
      <c r="I119" s="54" t="s">
        <v>1808</v>
      </c>
      <c r="J119" s="62">
        <v>81.793035955981793</v>
      </c>
      <c r="K119" s="54" t="s">
        <v>1808</v>
      </c>
      <c r="L119" s="62">
        <v>2.9601823652094607E-2</v>
      </c>
      <c r="M119" s="54" t="s">
        <v>1808</v>
      </c>
      <c r="N119" s="62">
        <v>4.4763842085949537E-3</v>
      </c>
      <c r="O119" s="54" t="s">
        <v>1808</v>
      </c>
      <c r="P119" s="62">
        <v>1.0089694104958931</v>
      </c>
      <c r="Q119" s="54" t="s">
        <v>1807</v>
      </c>
      <c r="R119" s="62">
        <v>0.49942553122096095</v>
      </c>
      <c r="S119" s="54" t="s">
        <v>1808</v>
      </c>
      <c r="T119" s="54">
        <v>0.54350661947828394</v>
      </c>
      <c r="U119" s="54" t="s">
        <v>1808</v>
      </c>
      <c r="V119" s="54">
        <v>18.639513954579549</v>
      </c>
      <c r="W119" s="10" t="s">
        <v>1808</v>
      </c>
    </row>
    <row r="120" spans="2:23" ht="25.2" customHeight="1" x14ac:dyDescent="0.25">
      <c r="B120" s="24" t="s">
        <v>1355</v>
      </c>
      <c r="C120" s="17">
        <v>500</v>
      </c>
      <c r="D120" s="62" t="s">
        <v>1907</v>
      </c>
      <c r="E120" s="54" t="s">
        <v>1808</v>
      </c>
      <c r="F120" s="62">
        <v>0.97065491899194545</v>
      </c>
      <c r="G120" s="54" t="s">
        <v>1808</v>
      </c>
      <c r="H120" s="62">
        <v>5.249256357263981</v>
      </c>
      <c r="I120" s="54" t="s">
        <v>1808</v>
      </c>
      <c r="J120" s="62">
        <v>11.919900079356248</v>
      </c>
      <c r="K120" s="54" t="s">
        <v>1808</v>
      </c>
      <c r="L120" s="62">
        <v>8.5633451452734634E-3</v>
      </c>
      <c r="M120" s="54" t="s">
        <v>1808</v>
      </c>
      <c r="N120" s="62">
        <v>8.6567914351774809E-4</v>
      </c>
      <c r="O120" s="54" t="s">
        <v>1807</v>
      </c>
      <c r="P120" s="62">
        <v>0.27560277471017097</v>
      </c>
      <c r="Q120" s="54" t="s">
        <v>1807</v>
      </c>
      <c r="R120" s="62">
        <v>0.15705082921662455</v>
      </c>
      <c r="S120" s="54" t="s">
        <v>1808</v>
      </c>
      <c r="T120" s="54">
        <v>0.13877613485532242</v>
      </c>
      <c r="U120" s="54" t="s">
        <v>1808</v>
      </c>
      <c r="V120" s="54">
        <v>5.4204174823992748</v>
      </c>
      <c r="W120" s="10" t="s">
        <v>1808</v>
      </c>
    </row>
    <row r="121" spans="2:23" ht="25.2" customHeight="1" x14ac:dyDescent="0.25">
      <c r="B121" s="24" t="s">
        <v>1356</v>
      </c>
      <c r="C121" s="18">
        <v>100</v>
      </c>
      <c r="D121" s="62">
        <v>1.8707019195347632E-2</v>
      </c>
      <c r="E121" s="54" t="s">
        <v>1908</v>
      </c>
      <c r="F121" s="62">
        <v>8.3512738578897689</v>
      </c>
      <c r="G121" s="54" t="s">
        <v>1808</v>
      </c>
      <c r="H121" s="62">
        <v>151.41507048286829</v>
      </c>
      <c r="I121" s="54" t="s">
        <v>1808</v>
      </c>
      <c r="J121" s="62">
        <v>305.93214421627152</v>
      </c>
      <c r="K121" s="54" t="s">
        <v>1808</v>
      </c>
      <c r="L121" s="62">
        <v>3.7345922421796914E-2</v>
      </c>
      <c r="M121" s="54" t="s">
        <v>1808</v>
      </c>
      <c r="N121" s="62">
        <v>3.3582217235265353E-2</v>
      </c>
      <c r="O121" s="54" t="s">
        <v>1808</v>
      </c>
      <c r="P121" s="62">
        <v>4.6480207929081958</v>
      </c>
      <c r="Q121" s="54" t="s">
        <v>1808</v>
      </c>
      <c r="R121" s="62">
        <v>0.69341145026109019</v>
      </c>
      <c r="S121" s="54" t="s">
        <v>1808</v>
      </c>
      <c r="T121" s="54">
        <v>1.0559676547693297</v>
      </c>
      <c r="U121" s="54" t="s">
        <v>1808</v>
      </c>
      <c r="V121" s="54">
        <v>91.812280860838797</v>
      </c>
      <c r="W121" s="10" t="s">
        <v>1808</v>
      </c>
    </row>
    <row r="122" spans="2:23" ht="25.2" customHeight="1" x14ac:dyDescent="0.25">
      <c r="B122" s="24" t="s">
        <v>1356</v>
      </c>
      <c r="C122" s="17">
        <v>200</v>
      </c>
      <c r="D122" s="62">
        <v>0.5585551337725414</v>
      </c>
      <c r="E122" s="54" t="s">
        <v>1807</v>
      </c>
      <c r="F122" s="62">
        <v>13.843212620596418</v>
      </c>
      <c r="G122" s="54" t="s">
        <v>1808</v>
      </c>
      <c r="H122" s="62">
        <v>195.05865941011101</v>
      </c>
      <c r="I122" s="54" t="s">
        <v>1808</v>
      </c>
      <c r="J122" s="62">
        <v>556.90545028624956</v>
      </c>
      <c r="K122" s="54" t="s">
        <v>1808</v>
      </c>
      <c r="L122" s="62">
        <v>5.117711609922336E-2</v>
      </c>
      <c r="M122" s="54" t="s">
        <v>1808</v>
      </c>
      <c r="N122" s="62">
        <v>6.7146593355299933E-2</v>
      </c>
      <c r="O122" s="54" t="s">
        <v>1808</v>
      </c>
      <c r="P122" s="62">
        <v>7.5586073075546318</v>
      </c>
      <c r="Q122" s="54" t="s">
        <v>1808</v>
      </c>
      <c r="R122" s="62">
        <v>1.4332375842231813</v>
      </c>
      <c r="S122" s="54" t="s">
        <v>1808</v>
      </c>
      <c r="T122" s="54">
        <v>1.4695143632465741</v>
      </c>
      <c r="U122" s="54" t="s">
        <v>1808</v>
      </c>
      <c r="V122" s="54">
        <v>177.16130152683039</v>
      </c>
      <c r="W122" s="10" t="s">
        <v>1808</v>
      </c>
    </row>
    <row r="123" spans="2:23" ht="25.2" customHeight="1" x14ac:dyDescent="0.25">
      <c r="B123" s="24" t="s">
        <v>1356</v>
      </c>
      <c r="C123" s="18">
        <v>300</v>
      </c>
      <c r="D123" s="62">
        <v>0.13711068468015439</v>
      </c>
      <c r="E123" s="54" t="s">
        <v>1908</v>
      </c>
      <c r="F123" s="62">
        <v>4.6274292192176949</v>
      </c>
      <c r="G123" s="54" t="s">
        <v>1808</v>
      </c>
      <c r="H123" s="62">
        <v>69.332070177301091</v>
      </c>
      <c r="I123" s="54" t="s">
        <v>1808</v>
      </c>
      <c r="J123" s="62">
        <v>176.44681423628336</v>
      </c>
      <c r="K123" s="54" t="s">
        <v>1808</v>
      </c>
      <c r="L123" s="62">
        <v>5.3709757567518938E-2</v>
      </c>
      <c r="M123" s="54" t="s">
        <v>1808</v>
      </c>
      <c r="N123" s="62">
        <v>5.7014027336874773E-2</v>
      </c>
      <c r="O123" s="54" t="s">
        <v>1808</v>
      </c>
      <c r="P123" s="62">
        <v>2.2223030758438571</v>
      </c>
      <c r="Q123" s="54" t="s">
        <v>1808</v>
      </c>
      <c r="R123" s="62">
        <v>0.96394782303988236</v>
      </c>
      <c r="S123" s="54" t="s">
        <v>1808</v>
      </c>
      <c r="T123" s="54">
        <v>0.50102879732022598</v>
      </c>
      <c r="U123" s="54" t="s">
        <v>1808</v>
      </c>
      <c r="V123" s="54">
        <v>63.433768486211548</v>
      </c>
      <c r="W123" s="10" t="s">
        <v>1808</v>
      </c>
    </row>
    <row r="124" spans="2:23" ht="25.2" customHeight="1" x14ac:dyDescent="0.25">
      <c r="B124" s="24" t="s">
        <v>1356</v>
      </c>
      <c r="C124" s="18">
        <v>400</v>
      </c>
      <c r="D124" s="62" t="s">
        <v>1907</v>
      </c>
      <c r="E124" s="54" t="s">
        <v>1808</v>
      </c>
      <c r="F124" s="62">
        <v>0.43135992722689465</v>
      </c>
      <c r="G124" s="54" t="s">
        <v>1808</v>
      </c>
      <c r="H124" s="62">
        <v>4.7410907493046803</v>
      </c>
      <c r="I124" s="54" t="s">
        <v>1808</v>
      </c>
      <c r="J124" s="62">
        <v>33.469711765826119</v>
      </c>
      <c r="K124" s="54" t="s">
        <v>1808</v>
      </c>
      <c r="L124" s="62">
        <v>2.4852471432414459E-2</v>
      </c>
      <c r="M124" s="54" t="s">
        <v>1808</v>
      </c>
      <c r="N124" s="62">
        <v>2.9017149593890998E-2</v>
      </c>
      <c r="O124" s="54" t="s">
        <v>1808</v>
      </c>
      <c r="P124" s="62">
        <v>0.66173518905707829</v>
      </c>
      <c r="Q124" s="54" t="s">
        <v>1807</v>
      </c>
      <c r="R124" s="62">
        <v>0.35269363403266457</v>
      </c>
      <c r="S124" s="54" t="s">
        <v>1808</v>
      </c>
      <c r="T124" s="54">
        <v>0.58936617306494476</v>
      </c>
      <c r="U124" s="54" t="s">
        <v>1808</v>
      </c>
      <c r="V124" s="54">
        <v>41.832901346937746</v>
      </c>
      <c r="W124" s="10" t="s">
        <v>1808</v>
      </c>
    </row>
    <row r="125" spans="2:23" ht="25.2" customHeight="1" x14ac:dyDescent="0.25">
      <c r="B125" s="24" t="s">
        <v>1357</v>
      </c>
      <c r="C125" s="17">
        <v>500</v>
      </c>
      <c r="D125" s="62" t="s">
        <v>1907</v>
      </c>
      <c r="E125" s="54" t="s">
        <v>1808</v>
      </c>
      <c r="F125" s="62">
        <v>8.2817809764031865E-3</v>
      </c>
      <c r="G125" s="54" t="s">
        <v>1808</v>
      </c>
      <c r="H125" s="62">
        <v>0.25758625087104958</v>
      </c>
      <c r="I125" s="54" t="s">
        <v>1808</v>
      </c>
      <c r="J125" s="62">
        <v>2.1201339971516093</v>
      </c>
      <c r="K125" s="54" t="s">
        <v>1808</v>
      </c>
      <c r="L125" s="62">
        <v>3.433804398668285E-3</v>
      </c>
      <c r="M125" s="54" t="s">
        <v>1808</v>
      </c>
      <c r="N125" s="62">
        <v>2.5654579711485519E-3</v>
      </c>
      <c r="O125" s="54" t="s">
        <v>1808</v>
      </c>
      <c r="P125" s="62">
        <v>0.35787154314386033</v>
      </c>
      <c r="Q125" s="54" t="s">
        <v>1808</v>
      </c>
      <c r="R125" s="62">
        <v>4.4372883216978076E-2</v>
      </c>
      <c r="S125" s="54" t="s">
        <v>1808</v>
      </c>
      <c r="T125" s="54">
        <v>3.2821199556128784E-2</v>
      </c>
      <c r="U125" s="54" t="s">
        <v>1808</v>
      </c>
      <c r="V125" s="54">
        <v>2.0113175543890991</v>
      </c>
      <c r="W125" s="10" t="s">
        <v>1808</v>
      </c>
    </row>
    <row r="126" spans="2:23" ht="25.2" customHeight="1" x14ac:dyDescent="0.25">
      <c r="B126" s="24" t="s">
        <v>1358</v>
      </c>
      <c r="C126" s="18">
        <v>100</v>
      </c>
      <c r="D126" s="62">
        <v>9.3069284859763152E-2</v>
      </c>
      <c r="E126" s="54" t="s">
        <v>1908</v>
      </c>
      <c r="F126" s="62">
        <v>13.654246469780022</v>
      </c>
      <c r="G126" s="54" t="s">
        <v>1808</v>
      </c>
      <c r="H126" s="62">
        <v>133.95494542115182</v>
      </c>
      <c r="I126" s="54" t="s">
        <v>1808</v>
      </c>
      <c r="J126" s="62">
        <v>345.50970182207709</v>
      </c>
      <c r="K126" s="54" t="s">
        <v>1808</v>
      </c>
      <c r="L126" s="62">
        <v>3.2239307043307068E-2</v>
      </c>
      <c r="M126" s="54" t="s">
        <v>1808</v>
      </c>
      <c r="N126" s="62">
        <v>5.7448848490762636E-2</v>
      </c>
      <c r="O126" s="54" t="s">
        <v>1808</v>
      </c>
      <c r="P126" s="62">
        <v>8.7613224329475052</v>
      </c>
      <c r="Q126" s="54" t="s">
        <v>1808</v>
      </c>
      <c r="R126" s="62">
        <v>0.9381957576439065</v>
      </c>
      <c r="S126" s="54" t="s">
        <v>1808</v>
      </c>
      <c r="T126" s="54">
        <v>1.8069045308563174</v>
      </c>
      <c r="U126" s="54" t="s">
        <v>1808</v>
      </c>
      <c r="V126" s="54">
        <v>221.38643938348349</v>
      </c>
      <c r="W126" s="10" t="s">
        <v>1808</v>
      </c>
    </row>
    <row r="127" spans="2:23" ht="25.2" customHeight="1" x14ac:dyDescent="0.25">
      <c r="B127" s="10" t="s">
        <v>1358</v>
      </c>
      <c r="C127" s="17">
        <v>200</v>
      </c>
      <c r="D127" s="62">
        <v>1.7346068536524192E-2</v>
      </c>
      <c r="E127" s="54" t="s">
        <v>1908</v>
      </c>
      <c r="F127" s="62">
        <v>1.6528590249394381</v>
      </c>
      <c r="G127" s="54" t="s">
        <v>1808</v>
      </c>
      <c r="H127" s="62">
        <v>22.950391867210122</v>
      </c>
      <c r="I127" s="54" t="s">
        <v>1808</v>
      </c>
      <c r="J127" s="62">
        <v>224.35884981310602</v>
      </c>
      <c r="K127" s="54" t="s">
        <v>1808</v>
      </c>
      <c r="L127" s="62">
        <v>2.6953316423696343E-2</v>
      </c>
      <c r="M127" s="54" t="s">
        <v>1808</v>
      </c>
      <c r="N127" s="62">
        <v>0.11945475108914654</v>
      </c>
      <c r="O127" s="54" t="s">
        <v>1808</v>
      </c>
      <c r="P127" s="62">
        <v>3.748167180922791</v>
      </c>
      <c r="Q127" s="54" t="s">
        <v>1808</v>
      </c>
      <c r="R127" s="62">
        <v>0.79183350554232956</v>
      </c>
      <c r="S127" s="54" t="s">
        <v>1808</v>
      </c>
      <c r="T127" s="54">
        <v>3.7313202761406825</v>
      </c>
      <c r="U127" s="54" t="s">
        <v>1808</v>
      </c>
      <c r="V127" s="54">
        <v>127.51722179109727</v>
      </c>
      <c r="W127" s="10" t="s">
        <v>1808</v>
      </c>
    </row>
    <row r="128" spans="2:23" ht="25.2" customHeight="1" x14ac:dyDescent="0.25">
      <c r="B128" s="10" t="s">
        <v>1359</v>
      </c>
      <c r="C128" s="18">
        <v>300</v>
      </c>
      <c r="D128" s="62">
        <v>1.8984614330777728E-2</v>
      </c>
      <c r="E128" s="54" t="s">
        <v>1908</v>
      </c>
      <c r="F128" s="62">
        <v>1.1624936033043212</v>
      </c>
      <c r="G128" s="54" t="s">
        <v>1808</v>
      </c>
      <c r="H128" s="62">
        <v>8.1516373862836229</v>
      </c>
      <c r="I128" s="54" t="s">
        <v>1808</v>
      </c>
      <c r="J128" s="62">
        <v>124.00089919312055</v>
      </c>
      <c r="K128" s="54" t="s">
        <v>1808</v>
      </c>
      <c r="L128" s="62">
        <v>2.1457986551113167E-2</v>
      </c>
      <c r="M128" s="54" t="s">
        <v>1808</v>
      </c>
      <c r="N128" s="62">
        <v>6.9495296587059427E-2</v>
      </c>
      <c r="O128" s="54" t="s">
        <v>1808</v>
      </c>
      <c r="P128" s="62">
        <v>2.6902456969626143</v>
      </c>
      <c r="Q128" s="54" t="s">
        <v>1808</v>
      </c>
      <c r="R128" s="62">
        <v>0.49518229750983833</v>
      </c>
      <c r="S128" s="54" t="s">
        <v>1808</v>
      </c>
      <c r="T128" s="54">
        <v>1.4916286791505819</v>
      </c>
      <c r="U128" s="54" t="s">
        <v>1808</v>
      </c>
      <c r="V128" s="54">
        <v>60.739098837258339</v>
      </c>
      <c r="W128" s="10" t="s">
        <v>1808</v>
      </c>
    </row>
    <row r="129" spans="1:23" ht="25.2" customHeight="1" x14ac:dyDescent="0.25">
      <c r="B129" s="10" t="s">
        <v>1358</v>
      </c>
      <c r="C129" s="18">
        <v>400</v>
      </c>
      <c r="D129" s="62">
        <v>8.5684406839663524E-2</v>
      </c>
      <c r="E129" s="54" t="s">
        <v>1807</v>
      </c>
      <c r="F129" s="62">
        <v>0.35965152407796375</v>
      </c>
      <c r="G129" s="54" t="s">
        <v>1808</v>
      </c>
      <c r="H129" s="62">
        <v>4.3028719426793467</v>
      </c>
      <c r="I129" s="54" t="s">
        <v>1808</v>
      </c>
      <c r="J129" s="62">
        <v>69.249626887167409</v>
      </c>
      <c r="K129" s="54" t="s">
        <v>1808</v>
      </c>
      <c r="L129" s="62">
        <v>1.2750693080939951E-2</v>
      </c>
      <c r="M129" s="54" t="s">
        <v>1808</v>
      </c>
      <c r="N129" s="62">
        <v>5.1148686079939443E-2</v>
      </c>
      <c r="O129" s="54" t="s">
        <v>1808</v>
      </c>
      <c r="P129" s="62">
        <v>2.0037462022885912</v>
      </c>
      <c r="Q129" s="54" t="s">
        <v>1808</v>
      </c>
      <c r="R129" s="62">
        <v>0.35769384828039352</v>
      </c>
      <c r="S129" s="54" t="s">
        <v>1808</v>
      </c>
      <c r="T129" s="54">
        <v>0.68420321428285347</v>
      </c>
      <c r="U129" s="54" t="s">
        <v>1808</v>
      </c>
      <c r="V129" s="54">
        <v>58.284705229506812</v>
      </c>
      <c r="W129" s="10" t="s">
        <v>1808</v>
      </c>
    </row>
    <row r="130" spans="1:23" ht="25.2" customHeight="1" x14ac:dyDescent="0.25">
      <c r="B130" s="10" t="s">
        <v>1358</v>
      </c>
      <c r="C130" s="17">
        <v>500</v>
      </c>
      <c r="D130" s="62" t="s">
        <v>1907</v>
      </c>
      <c r="E130" s="54" t="s">
        <v>1808</v>
      </c>
      <c r="F130" s="62">
        <v>0.16675610166060431</v>
      </c>
      <c r="G130" s="54" t="s">
        <v>1808</v>
      </c>
      <c r="H130" s="62">
        <v>4.1304194193811226</v>
      </c>
      <c r="I130" s="54" t="s">
        <v>1808</v>
      </c>
      <c r="J130" s="62">
        <v>7.8832651388152932</v>
      </c>
      <c r="K130" s="54" t="s">
        <v>1808</v>
      </c>
      <c r="L130" s="62">
        <v>2.3336396738356628E-3</v>
      </c>
      <c r="M130" s="54" t="s">
        <v>1808</v>
      </c>
      <c r="N130" s="62">
        <v>1.2244729101647126E-2</v>
      </c>
      <c r="O130" s="54" t="s">
        <v>1808</v>
      </c>
      <c r="P130" s="62">
        <v>0.24680958226373154</v>
      </c>
      <c r="Q130" s="54" t="s">
        <v>1808</v>
      </c>
      <c r="R130" s="62">
        <v>0.11809612313823609</v>
      </c>
      <c r="S130" s="54" t="s">
        <v>1808</v>
      </c>
      <c r="T130" s="54">
        <v>0.20768525175577418</v>
      </c>
      <c r="U130" s="54" t="s">
        <v>1808</v>
      </c>
      <c r="V130" s="54">
        <v>18.036747326848751</v>
      </c>
      <c r="W130" s="10" t="s">
        <v>1808</v>
      </c>
    </row>
    <row r="131" spans="1:23" ht="25.2" customHeight="1" x14ac:dyDescent="0.25">
      <c r="B131" s="10" t="s">
        <v>1360</v>
      </c>
      <c r="C131" s="18">
        <v>100</v>
      </c>
      <c r="D131" s="62" t="s">
        <v>1907</v>
      </c>
      <c r="E131" s="54" t="s">
        <v>1808</v>
      </c>
      <c r="F131" s="62">
        <v>6.5636725078786009</v>
      </c>
      <c r="G131" s="54" t="s">
        <v>1808</v>
      </c>
      <c r="H131" s="62">
        <v>109.18539751185203</v>
      </c>
      <c r="I131" s="54" t="s">
        <v>1808</v>
      </c>
      <c r="J131" s="62">
        <v>233.22553882769759</v>
      </c>
      <c r="K131" s="54" t="s">
        <v>1808</v>
      </c>
      <c r="L131" s="62">
        <v>3.4474623980512722E-2</v>
      </c>
      <c r="M131" s="54" t="s">
        <v>1808</v>
      </c>
      <c r="N131" s="62">
        <v>8.3018681778303488E-2</v>
      </c>
      <c r="O131" s="54" t="s">
        <v>1808</v>
      </c>
      <c r="P131" s="62">
        <v>3.3306284419765335</v>
      </c>
      <c r="Q131" s="54" t="s">
        <v>1808</v>
      </c>
      <c r="R131" s="62">
        <v>0.81744466666924265</v>
      </c>
      <c r="S131" s="54" t="s">
        <v>1808</v>
      </c>
      <c r="T131" s="54">
        <v>1.6006501255538619</v>
      </c>
      <c r="U131" s="54" t="s">
        <v>1808</v>
      </c>
      <c r="V131" s="54">
        <v>91.24326678302657</v>
      </c>
      <c r="W131" s="10" t="s">
        <v>1808</v>
      </c>
    </row>
    <row r="132" spans="1:23" ht="25.2" customHeight="1" x14ac:dyDescent="0.25">
      <c r="B132" s="10" t="s">
        <v>1360</v>
      </c>
      <c r="C132" s="17">
        <v>200</v>
      </c>
      <c r="D132" s="62" t="s">
        <v>1907</v>
      </c>
      <c r="E132" s="54" t="s">
        <v>1808</v>
      </c>
      <c r="F132" s="62">
        <v>1.3781830862942435</v>
      </c>
      <c r="G132" s="54" t="s">
        <v>1808</v>
      </c>
      <c r="H132" s="62">
        <v>26.214837819420765</v>
      </c>
      <c r="I132" s="54" t="s">
        <v>1808</v>
      </c>
      <c r="J132" s="62">
        <v>439.42972750623585</v>
      </c>
      <c r="K132" s="54" t="s">
        <v>1808</v>
      </c>
      <c r="L132" s="62">
        <v>3.8244157466924833E-2</v>
      </c>
      <c r="M132" s="54" t="s">
        <v>1808</v>
      </c>
      <c r="N132" s="62">
        <v>0.15512745646237724</v>
      </c>
      <c r="O132" s="54" t="s">
        <v>1808</v>
      </c>
      <c r="P132" s="62">
        <v>3.3458692684929163</v>
      </c>
      <c r="Q132" s="54" t="s">
        <v>1808</v>
      </c>
      <c r="R132" s="62">
        <v>0.83008559509909463</v>
      </c>
      <c r="S132" s="54" t="s">
        <v>1808</v>
      </c>
      <c r="T132" s="54">
        <v>2.6590544340541853</v>
      </c>
      <c r="U132" s="54" t="s">
        <v>1808</v>
      </c>
      <c r="V132" s="54">
        <v>214.51809750223623</v>
      </c>
      <c r="W132" s="10" t="s">
        <v>1808</v>
      </c>
    </row>
    <row r="133" spans="1:23" ht="25.2" customHeight="1" x14ac:dyDescent="0.25">
      <c r="B133" s="10" t="s">
        <v>1361</v>
      </c>
      <c r="C133" s="18">
        <v>300</v>
      </c>
      <c r="D133" s="62" t="s">
        <v>1907</v>
      </c>
      <c r="E133" s="54" t="s">
        <v>1808</v>
      </c>
      <c r="F133" s="62">
        <v>0.72516039815945388</v>
      </c>
      <c r="G133" s="54" t="s">
        <v>1808</v>
      </c>
      <c r="H133" s="62">
        <v>13.283077169063732</v>
      </c>
      <c r="I133" s="54" t="s">
        <v>1808</v>
      </c>
      <c r="J133" s="62">
        <v>201.63605987365366</v>
      </c>
      <c r="K133" s="54" t="s">
        <v>1808</v>
      </c>
      <c r="L133" s="62">
        <v>2.7723075545398389E-2</v>
      </c>
      <c r="M133" s="54" t="s">
        <v>1808</v>
      </c>
      <c r="N133" s="62">
        <v>7.2408066069864163E-2</v>
      </c>
      <c r="O133" s="54" t="s">
        <v>1808</v>
      </c>
      <c r="P133" s="62">
        <v>1.9698818971573009</v>
      </c>
      <c r="Q133" s="54" t="s">
        <v>1808</v>
      </c>
      <c r="R133" s="62">
        <v>0.4781562930331445</v>
      </c>
      <c r="S133" s="54" t="s">
        <v>1808</v>
      </c>
      <c r="T133" s="54">
        <v>1.2198678370506211</v>
      </c>
      <c r="U133" s="54" t="s">
        <v>1808</v>
      </c>
      <c r="V133" s="54">
        <v>136.80056950686711</v>
      </c>
      <c r="W133" s="10" t="s">
        <v>1808</v>
      </c>
    </row>
    <row r="134" spans="1:23" ht="25.2" customHeight="1" x14ac:dyDescent="0.25">
      <c r="B134" s="13" t="s">
        <v>1361</v>
      </c>
      <c r="C134" s="20">
        <v>400</v>
      </c>
      <c r="D134" s="63" t="s">
        <v>1907</v>
      </c>
      <c r="E134" s="59" t="s">
        <v>1808</v>
      </c>
      <c r="F134" s="63">
        <v>0.38513657922603295</v>
      </c>
      <c r="G134" s="59" t="s">
        <v>1808</v>
      </c>
      <c r="H134" s="63">
        <v>0.94235210802969127</v>
      </c>
      <c r="I134" s="59" t="s">
        <v>1808</v>
      </c>
      <c r="J134" s="63">
        <v>6.3237656210825994</v>
      </c>
      <c r="K134" s="59" t="s">
        <v>1808</v>
      </c>
      <c r="L134" s="63">
        <v>4.584147768426583E-3</v>
      </c>
      <c r="M134" s="59" t="s">
        <v>1808</v>
      </c>
      <c r="N134" s="63">
        <v>6.4844100686846824E-3</v>
      </c>
      <c r="O134" s="59" t="s">
        <v>1808</v>
      </c>
      <c r="P134" s="63">
        <v>2.2085482762175101E-2</v>
      </c>
      <c r="Q134" s="59" t="s">
        <v>1908</v>
      </c>
      <c r="R134" s="63">
        <v>6.7001955621298723E-2</v>
      </c>
      <c r="S134" s="59" t="s">
        <v>1808</v>
      </c>
      <c r="T134" s="59">
        <v>4.5288637538327826E-2</v>
      </c>
      <c r="U134" s="59" t="s">
        <v>1808</v>
      </c>
      <c r="V134" s="59">
        <v>4.4672943573068959</v>
      </c>
      <c r="W134" s="13" t="s">
        <v>1808</v>
      </c>
    </row>
    <row r="135" spans="1:23" s="10" customFormat="1" ht="25.2" customHeight="1" x14ac:dyDescent="0.3">
      <c r="A135" s="11"/>
      <c r="B135" s="10" t="s">
        <v>692</v>
      </c>
      <c r="C135" s="17" t="s">
        <v>566</v>
      </c>
      <c r="D135" s="54">
        <v>1.0776434609289787E-2</v>
      </c>
      <c r="E135" s="54"/>
      <c r="F135" s="54">
        <v>8.2817809764031865E-3</v>
      </c>
      <c r="G135" s="54"/>
      <c r="H135" s="54">
        <v>7.4975851510410869E-3</v>
      </c>
      <c r="I135" s="54"/>
      <c r="J135" s="54">
        <v>0.12698238785638266</v>
      </c>
      <c r="K135" s="54"/>
      <c r="L135" s="54">
        <v>2.3336396738356628E-3</v>
      </c>
      <c r="M135" s="54"/>
      <c r="N135" s="54">
        <v>1.6040018091896622E-5</v>
      </c>
      <c r="O135" s="54"/>
      <c r="P135" s="54">
        <v>9.288286593426797E-3</v>
      </c>
      <c r="Q135" s="54"/>
      <c r="R135" s="54">
        <v>2.0670752452074215E-3</v>
      </c>
      <c r="S135" s="54"/>
      <c r="T135" s="54">
        <v>1.4703479083678744E-5</v>
      </c>
      <c r="U135" s="54"/>
      <c r="V135" s="54">
        <v>5.8021184136461817E-3</v>
      </c>
    </row>
    <row r="136" spans="1:23" s="10" customFormat="1" ht="25.2" customHeight="1" x14ac:dyDescent="0.3">
      <c r="A136" s="11"/>
      <c r="C136" s="17" t="s">
        <v>565</v>
      </c>
      <c r="D136" s="54">
        <v>33.142777403516014</v>
      </c>
      <c r="E136" s="54"/>
      <c r="F136" s="54">
        <v>81.756535923060852</v>
      </c>
      <c r="G136" s="54"/>
      <c r="H136" s="54">
        <v>195.05865941011101</v>
      </c>
      <c r="I136" s="54"/>
      <c r="J136" s="54">
        <v>556.90545028624956</v>
      </c>
      <c r="K136" s="54"/>
      <c r="L136" s="54">
        <v>8.3332006492921024E-2</v>
      </c>
      <c r="M136" s="54"/>
      <c r="N136" s="54">
        <v>0.15512745646237724</v>
      </c>
      <c r="O136" s="54"/>
      <c r="P136" s="54">
        <v>8.7613224329475052</v>
      </c>
      <c r="Q136" s="54"/>
      <c r="R136" s="54">
        <v>16.590363378937106</v>
      </c>
      <c r="S136" s="54"/>
      <c r="T136" s="54">
        <v>3.7313202761406825</v>
      </c>
      <c r="U136" s="54"/>
      <c r="V136" s="54">
        <v>221.38643938348349</v>
      </c>
    </row>
    <row r="137" spans="1:23" s="10" customFormat="1" ht="25.2" customHeight="1" x14ac:dyDescent="0.3">
      <c r="A137" s="11"/>
      <c r="C137" s="17" t="s">
        <v>493</v>
      </c>
      <c r="D137" s="54">
        <v>0.74357080111252805</v>
      </c>
      <c r="E137" s="54"/>
      <c r="F137" s="54">
        <v>2.9257421385910898</v>
      </c>
      <c r="G137" s="54"/>
      <c r="H137" s="54">
        <v>0.23730321599082371</v>
      </c>
      <c r="I137" s="54"/>
      <c r="J137" s="54">
        <v>1.6323760679131216</v>
      </c>
      <c r="K137" s="54"/>
      <c r="L137" s="54">
        <v>1.8420167527632762E-2</v>
      </c>
      <c r="M137" s="54"/>
      <c r="N137" s="54">
        <v>1.1789631108736775E-3</v>
      </c>
      <c r="O137" s="54"/>
      <c r="P137" s="54">
        <v>0.14602060380114876</v>
      </c>
      <c r="Q137" s="54"/>
      <c r="R137" s="54">
        <v>0.49518229750983833</v>
      </c>
      <c r="S137" s="54"/>
      <c r="T137" s="54">
        <v>8.781959562672439E-4</v>
      </c>
      <c r="U137" s="54"/>
      <c r="V137" s="54">
        <v>0.13248126525825854</v>
      </c>
    </row>
    <row r="138" spans="1:23" s="10" customFormat="1" ht="25.2" customHeight="1" x14ac:dyDescent="0.3">
      <c r="A138" s="11"/>
      <c r="C138" s="17" t="s">
        <v>838</v>
      </c>
      <c r="D138" s="54">
        <v>0.24566102876607038</v>
      </c>
      <c r="E138" s="54"/>
      <c r="F138" s="54">
        <v>0.99519735606453474</v>
      </c>
      <c r="G138" s="54"/>
      <c r="H138" s="54">
        <v>8.6837303260643955E-2</v>
      </c>
      <c r="I138" s="54"/>
      <c r="J138" s="54">
        <v>0.72195417045894372</v>
      </c>
      <c r="K138" s="54"/>
      <c r="L138" s="54">
        <v>1.2306876837631816E-2</v>
      </c>
      <c r="M138" s="54"/>
      <c r="N138" s="54">
        <v>3.3463238060504045E-4</v>
      </c>
      <c r="O138" s="54"/>
      <c r="P138" s="54">
        <v>5.2051612010166094E-2</v>
      </c>
      <c r="Q138" s="54"/>
      <c r="R138" s="54">
        <v>1.2535267586980378E-2</v>
      </c>
      <c r="S138" s="54"/>
      <c r="T138" s="54">
        <v>4.671568879949466E-4</v>
      </c>
      <c r="U138" s="54"/>
      <c r="V138" s="54">
        <v>4.7453647151224819E-2</v>
      </c>
    </row>
    <row r="139" spans="1:23" s="10" customFormat="1" ht="25.2" customHeight="1" x14ac:dyDescent="0.3">
      <c r="A139" s="11"/>
      <c r="C139" s="17" t="s">
        <v>839</v>
      </c>
      <c r="D139" s="54">
        <v>1.6386661141563374</v>
      </c>
      <c r="E139" s="54"/>
      <c r="F139" s="54">
        <v>7.6321465839166365</v>
      </c>
      <c r="G139" s="54"/>
      <c r="H139" s="54">
        <v>2.6345454931720642</v>
      </c>
      <c r="I139" s="54"/>
      <c r="J139" s="54">
        <v>10.959189452450342</v>
      </c>
      <c r="K139" s="54"/>
      <c r="L139" s="54">
        <v>3.0756166035076367E-2</v>
      </c>
      <c r="M139" s="54"/>
      <c r="N139" s="54">
        <v>5.3682123354598776E-3</v>
      </c>
      <c r="O139" s="54"/>
      <c r="P139" s="54">
        <v>0.4635599627476058</v>
      </c>
      <c r="Q139" s="54"/>
      <c r="R139" s="54">
        <v>2.0178157325995874</v>
      </c>
      <c r="S139" s="54"/>
      <c r="T139" s="54">
        <v>1.1206256027777632E-2</v>
      </c>
      <c r="U139" s="54"/>
      <c r="V139" s="54">
        <v>4.4672943573068959</v>
      </c>
    </row>
    <row r="140" spans="1:23" s="10" customFormat="1" ht="25.2" customHeight="1" x14ac:dyDescent="0.3">
      <c r="C140" s="11" t="s">
        <v>494</v>
      </c>
      <c r="D140" s="54">
        <v>1.847592652817861</v>
      </c>
      <c r="E140" s="54"/>
      <c r="F140" s="54">
        <v>8.2581120988439256</v>
      </c>
      <c r="G140" s="54"/>
      <c r="H140" s="54">
        <v>11.381263498845676</v>
      </c>
      <c r="I140" s="54"/>
      <c r="J140" s="54">
        <v>38.082109191437148</v>
      </c>
      <c r="K140" s="54"/>
      <c r="L140" s="54">
        <v>2.4213185258132652E-2</v>
      </c>
      <c r="M140" s="54"/>
      <c r="N140" s="54">
        <v>9.6539356183384627E-3</v>
      </c>
      <c r="O140" s="54"/>
      <c r="P140" s="54">
        <v>0.71212657630917364</v>
      </c>
      <c r="Q140" s="54"/>
      <c r="R140" s="54">
        <v>1.5602740099084864</v>
      </c>
      <c r="S140" s="54"/>
      <c r="T140" s="54">
        <v>0.21587501945474208</v>
      </c>
      <c r="U140" s="54"/>
      <c r="V140" s="54">
        <v>15.920710242042086</v>
      </c>
    </row>
    <row r="141" spans="1:23" s="10" customFormat="1" ht="25.2" customHeight="1" x14ac:dyDescent="0.3">
      <c r="B141" s="13"/>
      <c r="C141" s="14" t="s">
        <v>501</v>
      </c>
      <c r="D141" s="59">
        <v>3.7869303038542834</v>
      </c>
      <c r="E141" s="59"/>
      <c r="F141" s="59">
        <v>15.142468070100618</v>
      </c>
      <c r="G141" s="59"/>
      <c r="H141" s="59">
        <v>30.665432304005112</v>
      </c>
      <c r="I141" s="59"/>
      <c r="J141" s="59">
        <v>91.65054925355264</v>
      </c>
      <c r="K141" s="59"/>
      <c r="L141" s="59">
        <v>1.7500003820505074E-2</v>
      </c>
      <c r="M141" s="59"/>
      <c r="N141" s="59">
        <v>2.3806453168989303E-2</v>
      </c>
      <c r="O141" s="59"/>
      <c r="P141" s="59">
        <v>1.4439797714557046</v>
      </c>
      <c r="Q141" s="59"/>
      <c r="R141" s="59">
        <v>2.5697800542513831</v>
      </c>
      <c r="S141" s="59"/>
      <c r="T141" s="59">
        <v>0.57544351745821565</v>
      </c>
      <c r="U141" s="59"/>
      <c r="V141" s="59">
        <v>40.646754990467691</v>
      </c>
      <c r="W141" s="13"/>
    </row>
    <row r="142" spans="1:23" ht="25.2" customHeight="1" x14ac:dyDescent="0.25">
      <c r="B142" s="16" t="s">
        <v>516</v>
      </c>
      <c r="C142" s="17">
        <v>100</v>
      </c>
      <c r="D142" s="11" t="s">
        <v>222</v>
      </c>
      <c r="E142" s="54" t="s">
        <v>1908</v>
      </c>
      <c r="F142" s="11" t="s">
        <v>722</v>
      </c>
      <c r="G142" s="11" t="s">
        <v>1808</v>
      </c>
      <c r="H142" s="11" t="s">
        <v>214</v>
      </c>
      <c r="I142" s="54" t="s">
        <v>1807</v>
      </c>
      <c r="J142" s="11" t="s">
        <v>723</v>
      </c>
      <c r="K142" s="54" t="s">
        <v>1807</v>
      </c>
      <c r="L142" s="11" t="s">
        <v>170</v>
      </c>
      <c r="M142" s="11" t="s">
        <v>1808</v>
      </c>
      <c r="N142" s="11" t="s">
        <v>63</v>
      </c>
      <c r="O142" s="54" t="s">
        <v>1908</v>
      </c>
      <c r="P142" s="11" t="s">
        <v>1866</v>
      </c>
      <c r="Q142" s="54" t="s">
        <v>1908</v>
      </c>
      <c r="R142" s="11" t="s">
        <v>63</v>
      </c>
      <c r="S142" s="54" t="s">
        <v>1908</v>
      </c>
      <c r="T142" s="11" t="s">
        <v>63</v>
      </c>
      <c r="U142" s="54" t="s">
        <v>1908</v>
      </c>
      <c r="V142" s="11" t="s">
        <v>152</v>
      </c>
      <c r="W142" s="54" t="s">
        <v>1908</v>
      </c>
    </row>
    <row r="143" spans="1:23" ht="25.2" customHeight="1" x14ac:dyDescent="0.25">
      <c r="B143" s="16" t="s">
        <v>516</v>
      </c>
      <c r="C143" s="18">
        <v>200</v>
      </c>
      <c r="D143" s="11" t="s">
        <v>724</v>
      </c>
      <c r="E143" s="54" t="s">
        <v>1807</v>
      </c>
      <c r="F143" s="11" t="s">
        <v>725</v>
      </c>
      <c r="G143" s="11" t="s">
        <v>1808</v>
      </c>
      <c r="H143" s="11" t="s">
        <v>219</v>
      </c>
      <c r="I143" s="54" t="s">
        <v>1807</v>
      </c>
      <c r="J143" s="11" t="s">
        <v>726</v>
      </c>
      <c r="K143" s="11" t="s">
        <v>1808</v>
      </c>
      <c r="L143" s="11" t="s">
        <v>170</v>
      </c>
      <c r="M143" s="11" t="s">
        <v>1808</v>
      </c>
      <c r="N143" s="11" t="s">
        <v>63</v>
      </c>
      <c r="O143" s="54" t="s">
        <v>1807</v>
      </c>
      <c r="P143" s="11" t="s">
        <v>1069</v>
      </c>
      <c r="Q143" s="54" t="s">
        <v>1908</v>
      </c>
      <c r="R143" s="11" t="s">
        <v>186</v>
      </c>
      <c r="S143" s="54" t="s">
        <v>1908</v>
      </c>
      <c r="T143" s="11" t="s">
        <v>63</v>
      </c>
      <c r="U143" s="54" t="s">
        <v>1908</v>
      </c>
      <c r="V143" s="11" t="s">
        <v>170</v>
      </c>
      <c r="W143" s="54" t="s">
        <v>1908</v>
      </c>
    </row>
    <row r="144" spans="1:23" ht="25.2" customHeight="1" x14ac:dyDescent="0.25">
      <c r="B144" s="16" t="s">
        <v>516</v>
      </c>
      <c r="C144" s="18">
        <v>300</v>
      </c>
      <c r="D144" s="11" t="s">
        <v>727</v>
      </c>
      <c r="E144" s="11" t="s">
        <v>1808</v>
      </c>
      <c r="F144" s="11" t="s">
        <v>728</v>
      </c>
      <c r="G144" s="11" t="s">
        <v>1808</v>
      </c>
      <c r="H144" s="11" t="s">
        <v>222</v>
      </c>
      <c r="I144" s="54" t="s">
        <v>1807</v>
      </c>
      <c r="J144" s="11" t="s">
        <v>729</v>
      </c>
      <c r="K144" s="11" t="s">
        <v>1808</v>
      </c>
      <c r="L144" s="11" t="s">
        <v>170</v>
      </c>
      <c r="M144" s="11" t="s">
        <v>1808</v>
      </c>
      <c r="N144" s="11" t="s">
        <v>63</v>
      </c>
      <c r="O144" s="54" t="s">
        <v>1908</v>
      </c>
      <c r="P144" s="11" t="s">
        <v>1867</v>
      </c>
      <c r="Q144" s="54" t="s">
        <v>1908</v>
      </c>
      <c r="R144" s="11" t="s">
        <v>186</v>
      </c>
      <c r="S144" s="54" t="s">
        <v>1908</v>
      </c>
      <c r="T144" s="11" t="s">
        <v>63</v>
      </c>
      <c r="U144" s="54" t="s">
        <v>1908</v>
      </c>
      <c r="V144" s="11" t="s">
        <v>136</v>
      </c>
      <c r="W144" s="54" t="s">
        <v>1908</v>
      </c>
    </row>
    <row r="145" spans="2:23" ht="25.2" customHeight="1" x14ac:dyDescent="0.25">
      <c r="B145" s="16" t="s">
        <v>516</v>
      </c>
      <c r="C145" s="17">
        <v>400</v>
      </c>
      <c r="D145" s="11" t="s">
        <v>730</v>
      </c>
      <c r="E145" s="11" t="s">
        <v>1808</v>
      </c>
      <c r="F145" s="11" t="s">
        <v>732</v>
      </c>
      <c r="G145" s="11" t="s">
        <v>1808</v>
      </c>
      <c r="H145" s="11" t="s">
        <v>733</v>
      </c>
      <c r="I145" s="54" t="s">
        <v>1807</v>
      </c>
      <c r="J145" s="11" t="s">
        <v>734</v>
      </c>
      <c r="K145" s="11" t="s">
        <v>1808</v>
      </c>
      <c r="L145" s="11" t="s">
        <v>170</v>
      </c>
      <c r="M145" s="11" t="s">
        <v>1808</v>
      </c>
      <c r="N145" s="11" t="s">
        <v>63</v>
      </c>
      <c r="O145" s="54" t="s">
        <v>1908</v>
      </c>
      <c r="P145" s="11" t="s">
        <v>89</v>
      </c>
      <c r="Q145" s="54" t="s">
        <v>1908</v>
      </c>
      <c r="R145" s="11" t="s">
        <v>186</v>
      </c>
      <c r="S145" s="54" t="s">
        <v>1908</v>
      </c>
      <c r="T145" s="11" t="s">
        <v>63</v>
      </c>
      <c r="U145" s="54" t="s">
        <v>1908</v>
      </c>
      <c r="V145" s="11" t="s">
        <v>99</v>
      </c>
      <c r="W145" s="54" t="s">
        <v>1908</v>
      </c>
    </row>
    <row r="146" spans="2:23" ht="25.2" customHeight="1" x14ac:dyDescent="0.25">
      <c r="B146" s="16" t="s">
        <v>516</v>
      </c>
      <c r="C146" s="18">
        <v>500</v>
      </c>
      <c r="D146" s="11" t="s">
        <v>735</v>
      </c>
      <c r="E146" s="11" t="s">
        <v>1808</v>
      </c>
      <c r="F146" s="11" t="s">
        <v>736</v>
      </c>
      <c r="G146" s="11" t="s">
        <v>1808</v>
      </c>
      <c r="H146" s="11" t="s">
        <v>737</v>
      </c>
      <c r="I146" s="54" t="s">
        <v>1807</v>
      </c>
      <c r="J146" s="11" t="s">
        <v>738</v>
      </c>
      <c r="K146" s="11" t="s">
        <v>1808</v>
      </c>
      <c r="L146" s="11" t="s">
        <v>170</v>
      </c>
      <c r="M146" s="11" t="s">
        <v>1808</v>
      </c>
      <c r="N146" s="11" t="s">
        <v>63</v>
      </c>
      <c r="O146" s="54" t="s">
        <v>1908</v>
      </c>
      <c r="P146" s="11" t="s">
        <v>111</v>
      </c>
      <c r="Q146" s="54" t="s">
        <v>1908</v>
      </c>
      <c r="R146" s="11" t="s">
        <v>186</v>
      </c>
      <c r="S146" s="54" t="s">
        <v>1908</v>
      </c>
      <c r="T146" s="11" t="s">
        <v>63</v>
      </c>
      <c r="U146" s="54" t="s">
        <v>1908</v>
      </c>
      <c r="V146" s="11" t="s">
        <v>769</v>
      </c>
      <c r="W146" s="54" t="s">
        <v>1908</v>
      </c>
    </row>
    <row r="147" spans="2:23" ht="25.2" customHeight="1" x14ac:dyDescent="0.25">
      <c r="B147" s="16"/>
      <c r="C147" s="18"/>
      <c r="D147" s="11"/>
      <c r="E147" s="11"/>
      <c r="F147" s="11"/>
      <c r="G147" s="11"/>
      <c r="H147" s="11"/>
      <c r="I147" s="11"/>
      <c r="J147" s="11"/>
      <c r="K147" s="11"/>
      <c r="L147" s="11"/>
      <c r="M147" s="11"/>
      <c r="N147" s="11"/>
      <c r="O147" s="11"/>
      <c r="P147" s="11"/>
      <c r="Q147" s="11"/>
      <c r="R147" s="11"/>
      <c r="S147" s="11"/>
      <c r="T147" s="11"/>
      <c r="U147" s="11"/>
      <c r="V147" s="11"/>
    </row>
    <row r="148" spans="2:23" ht="25.2" customHeight="1" x14ac:dyDescent="0.25">
      <c r="B148" s="16" t="s">
        <v>1020</v>
      </c>
      <c r="C148" s="17">
        <v>100</v>
      </c>
      <c r="D148" s="11" t="s">
        <v>739</v>
      </c>
      <c r="E148" s="11" t="s">
        <v>1808</v>
      </c>
      <c r="F148" s="11" t="s">
        <v>740</v>
      </c>
      <c r="G148" s="11" t="s">
        <v>1808</v>
      </c>
      <c r="H148" s="11" t="s">
        <v>1551</v>
      </c>
      <c r="I148" s="54" t="s">
        <v>1807</v>
      </c>
      <c r="J148" s="11" t="s">
        <v>1865</v>
      </c>
      <c r="K148" s="54" t="s">
        <v>1908</v>
      </c>
      <c r="L148" s="11" t="s">
        <v>131</v>
      </c>
      <c r="M148" s="11" t="s">
        <v>1808</v>
      </c>
      <c r="N148" s="11" t="s">
        <v>63</v>
      </c>
      <c r="O148" s="54" t="s">
        <v>1908</v>
      </c>
      <c r="P148" s="11" t="s">
        <v>134</v>
      </c>
      <c r="Q148" s="54" t="s">
        <v>1908</v>
      </c>
      <c r="R148" s="11" t="s">
        <v>111</v>
      </c>
      <c r="S148" s="54" t="s">
        <v>1807</v>
      </c>
      <c r="T148" s="11" t="s">
        <v>63</v>
      </c>
      <c r="U148" s="54" t="s">
        <v>1908</v>
      </c>
      <c r="V148" s="11" t="s">
        <v>1872</v>
      </c>
      <c r="W148" s="54" t="s">
        <v>1908</v>
      </c>
    </row>
    <row r="149" spans="2:23" ht="25.2" customHeight="1" x14ac:dyDescent="0.25">
      <c r="B149" s="16" t="s">
        <v>1020</v>
      </c>
      <c r="C149" s="18">
        <v>200</v>
      </c>
      <c r="D149" s="11" t="s">
        <v>741</v>
      </c>
      <c r="E149" s="11" t="s">
        <v>1808</v>
      </c>
      <c r="F149" s="11" t="s">
        <v>742</v>
      </c>
      <c r="G149" s="11" t="s">
        <v>1808</v>
      </c>
      <c r="H149" s="11" t="s">
        <v>832</v>
      </c>
      <c r="I149" s="54" t="s">
        <v>1807</v>
      </c>
      <c r="J149" s="11" t="s">
        <v>1399</v>
      </c>
      <c r="K149" s="54" t="s">
        <v>1807</v>
      </c>
      <c r="L149" s="11" t="s">
        <v>743</v>
      </c>
      <c r="M149" s="11" t="s">
        <v>1808</v>
      </c>
      <c r="N149" s="11" t="s">
        <v>118</v>
      </c>
      <c r="O149" s="54" t="s">
        <v>1808</v>
      </c>
      <c r="P149" s="11" t="s">
        <v>1868</v>
      </c>
      <c r="Q149" s="54" t="s">
        <v>1908</v>
      </c>
      <c r="R149" s="11" t="s">
        <v>90</v>
      </c>
      <c r="S149" s="54" t="s">
        <v>1807</v>
      </c>
      <c r="T149" s="11" t="s">
        <v>63</v>
      </c>
      <c r="U149" s="54" t="s">
        <v>1908</v>
      </c>
      <c r="V149" s="11" t="s">
        <v>787</v>
      </c>
      <c r="W149" s="54" t="s">
        <v>1908</v>
      </c>
    </row>
    <row r="150" spans="2:23" ht="25.2" customHeight="1" x14ac:dyDescent="0.25">
      <c r="B150" s="16" t="s">
        <v>1020</v>
      </c>
      <c r="C150" s="18">
        <v>300</v>
      </c>
      <c r="D150" s="11" t="s">
        <v>744</v>
      </c>
      <c r="E150" s="11" t="s">
        <v>1808</v>
      </c>
      <c r="F150" s="11" t="s">
        <v>745</v>
      </c>
      <c r="G150" s="11" t="s">
        <v>1808</v>
      </c>
      <c r="H150" s="11" t="s">
        <v>746</v>
      </c>
      <c r="I150" s="54" t="s">
        <v>1807</v>
      </c>
      <c r="J150" s="11" t="s">
        <v>747</v>
      </c>
      <c r="K150" s="54" t="s">
        <v>1908</v>
      </c>
      <c r="L150" s="11" t="s">
        <v>138</v>
      </c>
      <c r="M150" s="11" t="s">
        <v>1808</v>
      </c>
      <c r="N150" s="11" t="s">
        <v>63</v>
      </c>
      <c r="O150" s="54" t="s">
        <v>1908</v>
      </c>
      <c r="P150" s="11" t="s">
        <v>194</v>
      </c>
      <c r="Q150" s="54" t="s">
        <v>1908</v>
      </c>
      <c r="R150" s="11" t="s">
        <v>90</v>
      </c>
      <c r="S150" s="54" t="s">
        <v>1807</v>
      </c>
      <c r="T150" s="11" t="s">
        <v>63</v>
      </c>
      <c r="U150" s="54" t="s">
        <v>1908</v>
      </c>
      <c r="V150" s="11" t="s">
        <v>251</v>
      </c>
      <c r="W150" s="54" t="s">
        <v>1908</v>
      </c>
    </row>
    <row r="151" spans="2:23" ht="25.2" customHeight="1" x14ac:dyDescent="0.25">
      <c r="B151" s="16" t="s">
        <v>1020</v>
      </c>
      <c r="C151" s="17">
        <v>400</v>
      </c>
      <c r="D151" s="11" t="s">
        <v>748</v>
      </c>
      <c r="E151" s="11" t="s">
        <v>1808</v>
      </c>
      <c r="F151" s="11" t="s">
        <v>749</v>
      </c>
      <c r="G151" s="11" t="s">
        <v>1808</v>
      </c>
      <c r="H151" s="11" t="s">
        <v>1551</v>
      </c>
      <c r="I151" s="54" t="s">
        <v>1807</v>
      </c>
      <c r="J151" s="11" t="s">
        <v>750</v>
      </c>
      <c r="K151" s="54" t="s">
        <v>1908</v>
      </c>
      <c r="L151" s="11" t="s">
        <v>743</v>
      </c>
      <c r="M151" s="11" t="s">
        <v>1808</v>
      </c>
      <c r="N151" s="11" t="s">
        <v>63</v>
      </c>
      <c r="O151" s="54" t="s">
        <v>1908</v>
      </c>
      <c r="P151" s="11" t="s">
        <v>63</v>
      </c>
      <c r="Q151" s="54" t="s">
        <v>1908</v>
      </c>
      <c r="R151" s="11" t="s">
        <v>90</v>
      </c>
      <c r="S151" s="54" t="s">
        <v>1807</v>
      </c>
      <c r="T151" s="11" t="s">
        <v>63</v>
      </c>
      <c r="U151" s="54" t="s">
        <v>1908</v>
      </c>
      <c r="V151" s="11" t="s">
        <v>857</v>
      </c>
      <c r="W151" s="54" t="s">
        <v>1908</v>
      </c>
    </row>
    <row r="152" spans="2:23" ht="25.2" customHeight="1" x14ac:dyDescent="0.25">
      <c r="B152" s="16" t="s">
        <v>1020</v>
      </c>
      <c r="C152" s="18">
        <v>500</v>
      </c>
      <c r="D152" s="11" t="s">
        <v>751</v>
      </c>
      <c r="E152" s="11" t="s">
        <v>1808</v>
      </c>
      <c r="F152" s="11" t="s">
        <v>752</v>
      </c>
      <c r="G152" s="11" t="s">
        <v>1808</v>
      </c>
      <c r="H152" s="11" t="s">
        <v>753</v>
      </c>
      <c r="I152" s="54" t="s">
        <v>1807</v>
      </c>
      <c r="J152" s="11" t="s">
        <v>754</v>
      </c>
      <c r="K152" s="54" t="s">
        <v>1807</v>
      </c>
      <c r="L152" s="11" t="s">
        <v>755</v>
      </c>
      <c r="M152" s="11" t="s">
        <v>1808</v>
      </c>
      <c r="N152" s="11" t="s">
        <v>63</v>
      </c>
      <c r="O152" s="54" t="s">
        <v>1908</v>
      </c>
      <c r="P152" s="11" t="s">
        <v>1869</v>
      </c>
      <c r="Q152" s="54" t="s">
        <v>1908</v>
      </c>
      <c r="R152" s="11" t="s">
        <v>731</v>
      </c>
      <c r="S152" s="54" t="s">
        <v>1807</v>
      </c>
      <c r="T152" s="11" t="s">
        <v>63</v>
      </c>
      <c r="U152" s="54" t="s">
        <v>1908</v>
      </c>
      <c r="V152" s="11" t="s">
        <v>1111</v>
      </c>
      <c r="W152" s="54" t="s">
        <v>1908</v>
      </c>
    </row>
    <row r="153" spans="2:23" ht="25.2" customHeight="1" x14ac:dyDescent="0.25">
      <c r="B153" s="16"/>
      <c r="C153" s="18"/>
      <c r="D153" s="11"/>
      <c r="E153" s="11"/>
      <c r="F153" s="11"/>
      <c r="G153" s="11"/>
      <c r="H153" s="11"/>
      <c r="I153" s="11"/>
      <c r="J153" s="11"/>
      <c r="K153" s="11"/>
      <c r="L153" s="11"/>
      <c r="M153" s="11"/>
      <c r="N153" s="11"/>
      <c r="O153" s="11"/>
      <c r="P153" s="11"/>
      <c r="Q153" s="11"/>
      <c r="R153" s="11"/>
      <c r="S153" s="11"/>
      <c r="T153" s="11"/>
      <c r="U153" s="11"/>
      <c r="V153" s="11"/>
    </row>
    <row r="154" spans="2:23" ht="25.2" customHeight="1" x14ac:dyDescent="0.25">
      <c r="B154" s="16" t="s">
        <v>43</v>
      </c>
      <c r="C154" s="17">
        <v>100</v>
      </c>
      <c r="D154" s="11" t="s">
        <v>756</v>
      </c>
      <c r="E154" s="11" t="s">
        <v>1808</v>
      </c>
      <c r="F154" s="11" t="s">
        <v>757</v>
      </c>
      <c r="G154" s="11" t="s">
        <v>1808</v>
      </c>
      <c r="H154" s="11" t="s">
        <v>1400</v>
      </c>
      <c r="I154" s="54" t="s">
        <v>1807</v>
      </c>
      <c r="J154" s="11" t="s">
        <v>1084</v>
      </c>
      <c r="K154" s="54" t="s">
        <v>1807</v>
      </c>
      <c r="L154" s="11" t="s">
        <v>186</v>
      </c>
      <c r="M154" s="54" t="s">
        <v>1807</v>
      </c>
      <c r="N154" s="11" t="s">
        <v>63</v>
      </c>
      <c r="O154" s="54" t="s">
        <v>1908</v>
      </c>
      <c r="P154" s="11" t="s">
        <v>758</v>
      </c>
      <c r="Q154" s="54" t="s">
        <v>1908</v>
      </c>
      <c r="R154" s="11" t="s">
        <v>759</v>
      </c>
      <c r="S154" s="11" t="s">
        <v>1808</v>
      </c>
      <c r="T154" s="11" t="s">
        <v>63</v>
      </c>
      <c r="U154" s="54" t="s">
        <v>1908</v>
      </c>
      <c r="V154" s="11" t="s">
        <v>143</v>
      </c>
      <c r="W154" s="54" t="s">
        <v>1908</v>
      </c>
    </row>
    <row r="155" spans="2:23" ht="25.2" customHeight="1" x14ac:dyDescent="0.25">
      <c r="B155" s="16" t="s">
        <v>43</v>
      </c>
      <c r="C155" s="18">
        <v>200</v>
      </c>
      <c r="D155" s="11" t="s">
        <v>760</v>
      </c>
      <c r="E155" s="11" t="s">
        <v>1808</v>
      </c>
      <c r="F155" s="11" t="s">
        <v>761</v>
      </c>
      <c r="G155" s="11" t="s">
        <v>1808</v>
      </c>
      <c r="H155" s="11" t="s">
        <v>762</v>
      </c>
      <c r="I155" s="54" t="s">
        <v>1807</v>
      </c>
      <c r="J155" s="11" t="s">
        <v>763</v>
      </c>
      <c r="K155" s="54" t="s">
        <v>1807</v>
      </c>
      <c r="L155" s="11" t="s">
        <v>186</v>
      </c>
      <c r="M155" s="54" t="s">
        <v>1807</v>
      </c>
      <c r="N155" s="11" t="s">
        <v>63</v>
      </c>
      <c r="O155" s="54" t="s">
        <v>1908</v>
      </c>
      <c r="P155" s="11" t="s">
        <v>176</v>
      </c>
      <c r="Q155" s="54" t="s">
        <v>1908</v>
      </c>
      <c r="R155" s="11" t="s">
        <v>764</v>
      </c>
      <c r="S155" s="11" t="s">
        <v>1808</v>
      </c>
      <c r="T155" s="11" t="s">
        <v>63</v>
      </c>
      <c r="U155" s="54" t="s">
        <v>1908</v>
      </c>
      <c r="V155" s="11" t="s">
        <v>834</v>
      </c>
      <c r="W155" s="54" t="s">
        <v>1908</v>
      </c>
    </row>
    <row r="156" spans="2:23" ht="25.2" customHeight="1" x14ac:dyDescent="0.25">
      <c r="B156" s="16" t="s">
        <v>43</v>
      </c>
      <c r="C156" s="18">
        <v>300</v>
      </c>
      <c r="D156" s="11" t="s">
        <v>765</v>
      </c>
      <c r="E156" s="11" t="s">
        <v>1808</v>
      </c>
      <c r="F156" s="11" t="s">
        <v>766</v>
      </c>
      <c r="G156" s="11" t="s">
        <v>1808</v>
      </c>
      <c r="H156" s="11" t="s">
        <v>767</v>
      </c>
      <c r="I156" s="54" t="s">
        <v>1807</v>
      </c>
      <c r="J156" s="11" t="s">
        <v>768</v>
      </c>
      <c r="K156" s="54" t="s">
        <v>1807</v>
      </c>
      <c r="L156" s="11" t="s">
        <v>186</v>
      </c>
      <c r="M156" s="54" t="s">
        <v>1807</v>
      </c>
      <c r="N156" s="11" t="s">
        <v>63</v>
      </c>
      <c r="O156" s="54" t="s">
        <v>1908</v>
      </c>
      <c r="P156" s="11" t="s">
        <v>137</v>
      </c>
      <c r="Q156" s="54" t="s">
        <v>1908</v>
      </c>
      <c r="R156" s="11" t="s">
        <v>770</v>
      </c>
      <c r="S156" s="11" t="s">
        <v>1808</v>
      </c>
      <c r="T156" s="11" t="s">
        <v>63</v>
      </c>
      <c r="U156" s="54" t="s">
        <v>1908</v>
      </c>
      <c r="V156" s="11" t="s">
        <v>221</v>
      </c>
      <c r="W156" s="54" t="s">
        <v>1908</v>
      </c>
    </row>
    <row r="157" spans="2:23" ht="24.9" customHeight="1" x14ac:dyDescent="0.25">
      <c r="B157" s="16" t="s">
        <v>43</v>
      </c>
      <c r="C157" s="17">
        <v>400</v>
      </c>
      <c r="D157" s="11" t="s">
        <v>771</v>
      </c>
      <c r="E157" s="11" t="s">
        <v>1808</v>
      </c>
      <c r="F157" s="11" t="s">
        <v>772</v>
      </c>
      <c r="G157" s="11" t="s">
        <v>1808</v>
      </c>
      <c r="H157" s="11" t="s">
        <v>773</v>
      </c>
      <c r="I157" s="54" t="s">
        <v>1807</v>
      </c>
      <c r="J157" s="11" t="s">
        <v>774</v>
      </c>
      <c r="K157" s="54" t="s">
        <v>1807</v>
      </c>
      <c r="L157" s="11" t="s">
        <v>111</v>
      </c>
      <c r="M157" s="11" t="s">
        <v>1808</v>
      </c>
      <c r="N157" s="11" t="s">
        <v>63</v>
      </c>
      <c r="O157" s="54" t="s">
        <v>1908</v>
      </c>
      <c r="P157" s="11" t="s">
        <v>216</v>
      </c>
      <c r="Q157" s="54" t="s">
        <v>1908</v>
      </c>
      <c r="R157" s="11" t="s">
        <v>185</v>
      </c>
      <c r="S157" s="11" t="s">
        <v>1808</v>
      </c>
      <c r="T157" s="11" t="s">
        <v>63</v>
      </c>
      <c r="U157" s="54" t="s">
        <v>1908</v>
      </c>
      <c r="V157" s="11" t="s">
        <v>260</v>
      </c>
      <c r="W157" s="54" t="s">
        <v>1908</v>
      </c>
    </row>
    <row r="158" spans="2:23" ht="24.9" customHeight="1" x14ac:dyDescent="0.25">
      <c r="B158" s="16" t="s">
        <v>43</v>
      </c>
      <c r="C158" s="18">
        <v>500</v>
      </c>
      <c r="D158" s="11" t="s">
        <v>775</v>
      </c>
      <c r="E158" s="11" t="s">
        <v>1808</v>
      </c>
      <c r="F158" s="11" t="s">
        <v>776</v>
      </c>
      <c r="G158" s="11" t="s">
        <v>1808</v>
      </c>
      <c r="H158" s="11" t="s">
        <v>777</v>
      </c>
      <c r="I158" s="54" t="s">
        <v>1807</v>
      </c>
      <c r="J158" s="11" t="s">
        <v>778</v>
      </c>
      <c r="K158" s="54" t="s">
        <v>1807</v>
      </c>
      <c r="L158" s="11" t="s">
        <v>111</v>
      </c>
      <c r="M158" s="11" t="s">
        <v>1807</v>
      </c>
      <c r="N158" s="11" t="s">
        <v>63</v>
      </c>
      <c r="O158" s="54" t="s">
        <v>1908</v>
      </c>
      <c r="P158" s="11" t="s">
        <v>590</v>
      </c>
      <c r="Q158" s="54" t="s">
        <v>1908</v>
      </c>
      <c r="R158" s="11" t="s">
        <v>779</v>
      </c>
      <c r="S158" s="11" t="s">
        <v>1808</v>
      </c>
      <c r="T158" s="11" t="s">
        <v>63</v>
      </c>
      <c r="U158" s="54" t="s">
        <v>1908</v>
      </c>
      <c r="V158" s="11" t="s">
        <v>1873</v>
      </c>
      <c r="W158" s="54" t="s">
        <v>1908</v>
      </c>
    </row>
    <row r="159" spans="2:23" ht="24.9" customHeight="1" x14ac:dyDescent="0.25">
      <c r="B159" s="16"/>
      <c r="C159" s="18"/>
      <c r="D159" s="11"/>
      <c r="E159" s="11"/>
      <c r="F159" s="11"/>
      <c r="G159" s="11"/>
      <c r="H159" s="11"/>
      <c r="I159" s="11"/>
      <c r="J159" s="11"/>
      <c r="K159" s="11"/>
      <c r="L159" s="11"/>
      <c r="M159" s="11"/>
      <c r="N159" s="11"/>
      <c r="O159" s="11"/>
      <c r="P159" s="11"/>
      <c r="Q159" s="11"/>
      <c r="R159" s="11"/>
      <c r="S159" s="11"/>
      <c r="T159" s="11"/>
      <c r="U159" s="11"/>
      <c r="V159" s="11"/>
    </row>
    <row r="160" spans="2:23" ht="24.9" customHeight="1" x14ac:dyDescent="0.25">
      <c r="B160" s="16" t="s">
        <v>412</v>
      </c>
      <c r="C160" s="17">
        <v>100</v>
      </c>
      <c r="D160" s="11" t="s">
        <v>780</v>
      </c>
      <c r="E160" s="54" t="s">
        <v>1908</v>
      </c>
      <c r="F160" s="11" t="s">
        <v>781</v>
      </c>
      <c r="G160" s="11" t="s">
        <v>1807</v>
      </c>
      <c r="H160" s="11" t="s">
        <v>782</v>
      </c>
      <c r="I160" s="54" t="s">
        <v>1807</v>
      </c>
      <c r="J160" s="11" t="s">
        <v>783</v>
      </c>
      <c r="K160" s="54" t="s">
        <v>1908</v>
      </c>
      <c r="L160" s="11" t="s">
        <v>186</v>
      </c>
      <c r="M160" s="54" t="s">
        <v>1807</v>
      </c>
      <c r="N160" s="11" t="s">
        <v>63</v>
      </c>
      <c r="O160" s="54" t="s">
        <v>1908</v>
      </c>
      <c r="P160" s="11" t="s">
        <v>784</v>
      </c>
      <c r="Q160" s="54" t="s">
        <v>1908</v>
      </c>
      <c r="R160" s="11" t="s">
        <v>785</v>
      </c>
      <c r="S160" s="11" t="s">
        <v>1808</v>
      </c>
      <c r="T160" s="11" t="s">
        <v>63</v>
      </c>
      <c r="U160" s="54" t="s">
        <v>1908</v>
      </c>
      <c r="V160" s="11" t="s">
        <v>260</v>
      </c>
      <c r="W160" s="54" t="s">
        <v>1908</v>
      </c>
    </row>
    <row r="161" spans="2:23" ht="24.9" customHeight="1" x14ac:dyDescent="0.25">
      <c r="B161" s="16" t="s">
        <v>412</v>
      </c>
      <c r="C161" s="18">
        <v>200</v>
      </c>
      <c r="D161" s="11" t="s">
        <v>786</v>
      </c>
      <c r="E161" s="54" t="s">
        <v>1807</v>
      </c>
      <c r="F161" s="11" t="s">
        <v>788</v>
      </c>
      <c r="G161" s="11" t="s">
        <v>1808</v>
      </c>
      <c r="H161" s="11" t="s">
        <v>789</v>
      </c>
      <c r="I161" s="54" t="s">
        <v>1807</v>
      </c>
      <c r="J161" s="11" t="s">
        <v>790</v>
      </c>
      <c r="K161" s="54" t="s">
        <v>1908</v>
      </c>
      <c r="L161" s="11" t="s">
        <v>111</v>
      </c>
      <c r="M161" s="11" t="s">
        <v>1808</v>
      </c>
      <c r="N161" s="11" t="s">
        <v>63</v>
      </c>
      <c r="O161" s="54" t="s">
        <v>1908</v>
      </c>
      <c r="P161" s="11" t="s">
        <v>217</v>
      </c>
      <c r="Q161" s="54" t="s">
        <v>1908</v>
      </c>
      <c r="R161" s="11" t="s">
        <v>791</v>
      </c>
      <c r="S161" s="11" t="s">
        <v>1808</v>
      </c>
      <c r="T161" s="11" t="s">
        <v>63</v>
      </c>
      <c r="U161" s="54" t="s">
        <v>1908</v>
      </c>
      <c r="V161" s="11" t="s">
        <v>731</v>
      </c>
      <c r="W161" s="54" t="s">
        <v>1908</v>
      </c>
    </row>
    <row r="162" spans="2:23" ht="24.9" customHeight="1" x14ac:dyDescent="0.25">
      <c r="B162" s="16" t="s">
        <v>412</v>
      </c>
      <c r="C162" s="18">
        <v>300</v>
      </c>
      <c r="D162" s="11" t="s">
        <v>792</v>
      </c>
      <c r="E162" s="11" t="s">
        <v>1808</v>
      </c>
      <c r="F162" s="11" t="s">
        <v>794</v>
      </c>
      <c r="G162" s="11" t="s">
        <v>1808</v>
      </c>
      <c r="H162" s="11" t="s">
        <v>1401</v>
      </c>
      <c r="I162" s="54" t="s">
        <v>1807</v>
      </c>
      <c r="J162" s="11" t="s">
        <v>1402</v>
      </c>
      <c r="K162" s="54" t="s">
        <v>1908</v>
      </c>
      <c r="L162" s="11" t="s">
        <v>186</v>
      </c>
      <c r="M162" s="11" t="s">
        <v>1808</v>
      </c>
      <c r="N162" s="11" t="s">
        <v>63</v>
      </c>
      <c r="O162" s="54" t="s">
        <v>1807</v>
      </c>
      <c r="P162" s="11" t="s">
        <v>795</v>
      </c>
      <c r="Q162" s="54" t="s">
        <v>1908</v>
      </c>
      <c r="R162" s="11" t="s">
        <v>796</v>
      </c>
      <c r="S162" s="11" t="s">
        <v>1808</v>
      </c>
      <c r="T162" s="11" t="s">
        <v>118</v>
      </c>
      <c r="U162" s="54" t="s">
        <v>1908</v>
      </c>
      <c r="V162" s="11" t="s">
        <v>833</v>
      </c>
      <c r="W162" s="54" t="s">
        <v>1908</v>
      </c>
    </row>
    <row r="163" spans="2:23" ht="24.9" customHeight="1" x14ac:dyDescent="0.25">
      <c r="B163" s="16" t="s">
        <v>412</v>
      </c>
      <c r="C163" s="17">
        <v>400</v>
      </c>
      <c r="D163" s="11" t="s">
        <v>797</v>
      </c>
      <c r="E163" s="11" t="s">
        <v>1808</v>
      </c>
      <c r="F163" s="11" t="s">
        <v>798</v>
      </c>
      <c r="G163" s="11" t="s">
        <v>1808</v>
      </c>
      <c r="H163" s="11" t="s">
        <v>799</v>
      </c>
      <c r="I163" s="54" t="s">
        <v>1807</v>
      </c>
      <c r="J163" s="11" t="s">
        <v>800</v>
      </c>
      <c r="K163" s="54" t="s">
        <v>1908</v>
      </c>
      <c r="L163" s="11" t="s">
        <v>186</v>
      </c>
      <c r="M163" s="54" t="s">
        <v>1807</v>
      </c>
      <c r="N163" s="11" t="s">
        <v>63</v>
      </c>
      <c r="O163" s="54" t="s">
        <v>1908</v>
      </c>
      <c r="P163" s="11" t="s">
        <v>801</v>
      </c>
      <c r="Q163" s="54" t="s">
        <v>1908</v>
      </c>
      <c r="R163" s="11" t="s">
        <v>802</v>
      </c>
      <c r="S163" s="11" t="s">
        <v>1808</v>
      </c>
      <c r="T163" s="11" t="s">
        <v>63</v>
      </c>
      <c r="U163" s="54" t="s">
        <v>1908</v>
      </c>
      <c r="V163" s="11" t="s">
        <v>138</v>
      </c>
      <c r="W163" s="54" t="s">
        <v>1908</v>
      </c>
    </row>
    <row r="164" spans="2:23" ht="24.9" customHeight="1" x14ac:dyDescent="0.25">
      <c r="B164" s="16" t="s">
        <v>412</v>
      </c>
      <c r="C164" s="18">
        <v>500</v>
      </c>
      <c r="D164" s="11" t="s">
        <v>803</v>
      </c>
      <c r="E164" s="11" t="s">
        <v>1808</v>
      </c>
      <c r="F164" s="11" t="s">
        <v>804</v>
      </c>
      <c r="G164" s="11" t="s">
        <v>1808</v>
      </c>
      <c r="H164" s="11" t="s">
        <v>805</v>
      </c>
      <c r="I164" s="54" t="s">
        <v>1807</v>
      </c>
      <c r="J164" s="11" t="s">
        <v>806</v>
      </c>
      <c r="K164" s="54" t="s">
        <v>1908</v>
      </c>
      <c r="L164" s="11" t="s">
        <v>186</v>
      </c>
      <c r="M164" s="11" t="s">
        <v>1808</v>
      </c>
      <c r="N164" s="11" t="s">
        <v>63</v>
      </c>
      <c r="O164" s="54" t="s">
        <v>1908</v>
      </c>
      <c r="P164" s="11" t="s">
        <v>807</v>
      </c>
      <c r="Q164" s="54" t="s">
        <v>1908</v>
      </c>
      <c r="R164" s="11" t="s">
        <v>808</v>
      </c>
      <c r="S164" s="11" t="s">
        <v>1808</v>
      </c>
      <c r="T164" s="11" t="s">
        <v>63</v>
      </c>
      <c r="U164" s="54" t="s">
        <v>1908</v>
      </c>
      <c r="V164" s="11" t="s">
        <v>835</v>
      </c>
      <c r="W164" s="54" t="s">
        <v>1908</v>
      </c>
    </row>
    <row r="165" spans="2:23" ht="24.9" customHeight="1" x14ac:dyDescent="0.25">
      <c r="B165" s="16"/>
      <c r="C165" s="18"/>
      <c r="D165" s="11"/>
      <c r="E165" s="11"/>
      <c r="F165" s="11"/>
      <c r="G165" s="11"/>
      <c r="H165" s="11"/>
      <c r="I165" s="11"/>
      <c r="J165" s="11"/>
      <c r="K165" s="11"/>
      <c r="L165" s="11"/>
      <c r="M165" s="11"/>
      <c r="N165" s="11"/>
      <c r="O165" s="11"/>
      <c r="P165" s="11"/>
      <c r="Q165" s="11"/>
      <c r="R165" s="11"/>
      <c r="S165" s="11"/>
      <c r="T165" s="11"/>
      <c r="U165" s="11"/>
      <c r="V165" s="11"/>
    </row>
    <row r="166" spans="2:23" ht="24.9" customHeight="1" x14ac:dyDescent="0.25">
      <c r="B166" s="16" t="s">
        <v>1031</v>
      </c>
      <c r="C166" s="17">
        <v>100</v>
      </c>
      <c r="D166" s="11" t="s">
        <v>809</v>
      </c>
      <c r="E166" s="54" t="s">
        <v>1908</v>
      </c>
      <c r="F166" s="11" t="s">
        <v>810</v>
      </c>
      <c r="G166" s="11" t="s">
        <v>1808</v>
      </c>
      <c r="H166" s="11" t="s">
        <v>1403</v>
      </c>
      <c r="I166" s="54" t="s">
        <v>1807</v>
      </c>
      <c r="J166" s="11" t="s">
        <v>1404</v>
      </c>
      <c r="K166" s="54" t="s">
        <v>1807</v>
      </c>
      <c r="L166" s="11" t="s">
        <v>170</v>
      </c>
      <c r="M166" s="11" t="s">
        <v>1808</v>
      </c>
      <c r="N166" s="11" t="s">
        <v>63</v>
      </c>
      <c r="O166" s="11" t="s">
        <v>1808</v>
      </c>
      <c r="P166" s="11" t="s">
        <v>811</v>
      </c>
      <c r="Q166" s="54" t="s">
        <v>1908</v>
      </c>
      <c r="R166" s="11" t="s">
        <v>812</v>
      </c>
      <c r="S166" s="11" t="s">
        <v>1808</v>
      </c>
      <c r="T166" s="11" t="s">
        <v>118</v>
      </c>
      <c r="U166" s="54" t="s">
        <v>1908</v>
      </c>
      <c r="V166" s="11" t="s">
        <v>753</v>
      </c>
      <c r="W166" s="54" t="s">
        <v>1807</v>
      </c>
    </row>
    <row r="167" spans="2:23" ht="24.9" customHeight="1" x14ac:dyDescent="0.25">
      <c r="B167" s="16" t="s">
        <v>1031</v>
      </c>
      <c r="C167" s="18">
        <v>200</v>
      </c>
      <c r="D167" s="11" t="s">
        <v>813</v>
      </c>
      <c r="E167" s="54" t="s">
        <v>1908</v>
      </c>
      <c r="F167" s="11" t="s">
        <v>814</v>
      </c>
      <c r="G167" s="11" t="s">
        <v>1808</v>
      </c>
      <c r="H167" s="11" t="s">
        <v>815</v>
      </c>
      <c r="I167" s="54" t="s">
        <v>1807</v>
      </c>
      <c r="J167" s="11" t="s">
        <v>816</v>
      </c>
      <c r="K167" s="54" t="s">
        <v>1807</v>
      </c>
      <c r="L167" s="11" t="s">
        <v>186</v>
      </c>
      <c r="M167" s="11" t="s">
        <v>1808</v>
      </c>
      <c r="N167" s="11" t="s">
        <v>63</v>
      </c>
      <c r="O167" s="54" t="s">
        <v>1807</v>
      </c>
      <c r="P167" s="11" t="s">
        <v>216</v>
      </c>
      <c r="Q167" s="54" t="s">
        <v>1908</v>
      </c>
      <c r="R167" s="11" t="s">
        <v>817</v>
      </c>
      <c r="S167" s="11" t="s">
        <v>1808</v>
      </c>
      <c r="T167" s="11" t="s">
        <v>63</v>
      </c>
      <c r="U167" s="54" t="s">
        <v>1908</v>
      </c>
      <c r="V167" s="11" t="s">
        <v>836</v>
      </c>
      <c r="W167" s="54" t="s">
        <v>1807</v>
      </c>
    </row>
    <row r="168" spans="2:23" ht="24.9" customHeight="1" x14ac:dyDescent="0.25">
      <c r="B168" s="16" t="s">
        <v>1031</v>
      </c>
      <c r="C168" s="18">
        <v>300</v>
      </c>
      <c r="D168" s="11" t="s">
        <v>818</v>
      </c>
      <c r="E168" s="54" t="s">
        <v>1807</v>
      </c>
      <c r="F168" s="11" t="s">
        <v>819</v>
      </c>
      <c r="G168" s="11" t="s">
        <v>1808</v>
      </c>
      <c r="H168" s="11" t="s">
        <v>1405</v>
      </c>
      <c r="I168" s="54" t="s">
        <v>1807</v>
      </c>
      <c r="J168" s="11" t="s">
        <v>1406</v>
      </c>
      <c r="K168" s="54" t="s">
        <v>1908</v>
      </c>
      <c r="L168" s="11" t="s">
        <v>170</v>
      </c>
      <c r="M168" s="11" t="s">
        <v>1808</v>
      </c>
      <c r="N168" s="11" t="s">
        <v>63</v>
      </c>
      <c r="O168" s="54" t="s">
        <v>1807</v>
      </c>
      <c r="P168" s="11" t="s">
        <v>820</v>
      </c>
      <c r="Q168" s="54" t="s">
        <v>1908</v>
      </c>
      <c r="R168" s="11" t="s">
        <v>821</v>
      </c>
      <c r="S168" s="11" t="s">
        <v>1808</v>
      </c>
      <c r="T168" s="11" t="s">
        <v>63</v>
      </c>
      <c r="U168" s="54" t="s">
        <v>1908</v>
      </c>
      <c r="V168" s="11" t="s">
        <v>1407</v>
      </c>
      <c r="W168" s="54" t="s">
        <v>1908</v>
      </c>
    </row>
    <row r="169" spans="2:23" ht="24.9" customHeight="1" x14ac:dyDescent="0.25">
      <c r="B169" s="16" t="s">
        <v>1031</v>
      </c>
      <c r="C169" s="17">
        <v>400</v>
      </c>
      <c r="D169" s="11" t="s">
        <v>822</v>
      </c>
      <c r="E169" s="54" t="s">
        <v>1807</v>
      </c>
      <c r="F169" s="11" t="s">
        <v>823</v>
      </c>
      <c r="G169" s="11" t="s">
        <v>1808</v>
      </c>
      <c r="H169" s="11" t="s">
        <v>1408</v>
      </c>
      <c r="I169" s="54" t="s">
        <v>1807</v>
      </c>
      <c r="J169" s="11" t="s">
        <v>1409</v>
      </c>
      <c r="K169" s="54" t="s">
        <v>1908</v>
      </c>
      <c r="L169" s="11" t="s">
        <v>90</v>
      </c>
      <c r="M169" s="11" t="s">
        <v>1808</v>
      </c>
      <c r="N169" s="11" t="s">
        <v>63</v>
      </c>
      <c r="O169" s="54" t="s">
        <v>1807</v>
      </c>
      <c r="P169" s="11" t="s">
        <v>1870</v>
      </c>
      <c r="Q169" s="54" t="s">
        <v>1908</v>
      </c>
      <c r="R169" s="11" t="s">
        <v>824</v>
      </c>
      <c r="S169" s="11" t="s">
        <v>1808</v>
      </c>
      <c r="T169" s="11" t="s">
        <v>63</v>
      </c>
      <c r="U169" s="54" t="s">
        <v>1908</v>
      </c>
      <c r="V169" s="11" t="s">
        <v>1866</v>
      </c>
      <c r="W169" s="54" t="s">
        <v>1908</v>
      </c>
    </row>
    <row r="170" spans="2:23" ht="24.9" customHeight="1" x14ac:dyDescent="0.25">
      <c r="B170" s="16" t="s">
        <v>1031</v>
      </c>
      <c r="C170" s="18">
        <v>500</v>
      </c>
      <c r="D170" s="11" t="s">
        <v>825</v>
      </c>
      <c r="E170" s="54" t="s">
        <v>1807</v>
      </c>
      <c r="F170" s="11" t="s">
        <v>826</v>
      </c>
      <c r="G170" s="11" t="s">
        <v>1808</v>
      </c>
      <c r="H170" s="11" t="s">
        <v>827</v>
      </c>
      <c r="I170" s="54" t="s">
        <v>1807</v>
      </c>
      <c r="J170" s="11" t="s">
        <v>828</v>
      </c>
      <c r="K170" s="54" t="s">
        <v>1807</v>
      </c>
      <c r="L170" s="11" t="s">
        <v>90</v>
      </c>
      <c r="M170" s="11" t="s">
        <v>1808</v>
      </c>
      <c r="N170" s="11" t="s">
        <v>63</v>
      </c>
      <c r="O170" s="54" t="s">
        <v>1807</v>
      </c>
      <c r="P170" s="11" t="s">
        <v>829</v>
      </c>
      <c r="Q170" s="54" t="s">
        <v>1908</v>
      </c>
      <c r="R170" s="11" t="s">
        <v>830</v>
      </c>
      <c r="S170" s="11" t="s">
        <v>1808</v>
      </c>
      <c r="T170" s="11" t="s">
        <v>63</v>
      </c>
      <c r="U170" s="54" t="s">
        <v>1908</v>
      </c>
      <c r="V170" s="11" t="s">
        <v>1874</v>
      </c>
      <c r="W170" s="54" t="s">
        <v>1807</v>
      </c>
    </row>
    <row r="171" spans="2:23" ht="24.9" customHeight="1" x14ac:dyDescent="0.25">
      <c r="B171" s="16"/>
      <c r="C171" s="18"/>
      <c r="D171" s="11"/>
      <c r="E171" s="11"/>
      <c r="F171" s="11"/>
      <c r="G171" s="11"/>
      <c r="H171" s="11"/>
      <c r="I171" s="11"/>
      <c r="J171" s="11"/>
      <c r="K171" s="11"/>
      <c r="L171" s="11"/>
      <c r="M171" s="11"/>
      <c r="N171" s="11"/>
      <c r="O171" s="11"/>
      <c r="P171" s="11"/>
      <c r="Q171" s="11"/>
      <c r="R171" s="11"/>
      <c r="S171" s="11"/>
      <c r="T171" s="11"/>
      <c r="U171" s="11"/>
      <c r="V171" s="11"/>
    </row>
    <row r="172" spans="2:23" ht="24.9" customHeight="1" x14ac:dyDescent="0.25">
      <c r="B172" s="16" t="s">
        <v>49</v>
      </c>
      <c r="C172" s="17">
        <v>100</v>
      </c>
      <c r="D172" s="11" t="s">
        <v>99</v>
      </c>
      <c r="E172" s="54" t="s">
        <v>1908</v>
      </c>
      <c r="F172" s="11" t="s">
        <v>1539</v>
      </c>
      <c r="G172" s="11" t="s">
        <v>1808</v>
      </c>
      <c r="H172" s="11" t="s">
        <v>1540</v>
      </c>
      <c r="I172" s="11"/>
      <c r="J172" s="11" t="s">
        <v>1541</v>
      </c>
      <c r="K172" s="11" t="s">
        <v>1808</v>
      </c>
      <c r="L172" s="11" t="s">
        <v>731</v>
      </c>
      <c r="M172" s="11" t="s">
        <v>1808</v>
      </c>
      <c r="N172" s="11" t="s">
        <v>90</v>
      </c>
      <c r="O172" s="11" t="s">
        <v>1808</v>
      </c>
      <c r="P172" s="11" t="s">
        <v>1542</v>
      </c>
      <c r="Q172" s="11" t="s">
        <v>1808</v>
      </c>
      <c r="R172" s="11" t="s">
        <v>1543</v>
      </c>
      <c r="S172" s="11" t="s">
        <v>1808</v>
      </c>
      <c r="T172" s="11" t="s">
        <v>1592</v>
      </c>
      <c r="U172" s="11" t="s">
        <v>1808</v>
      </c>
      <c r="V172" s="11" t="s">
        <v>1593</v>
      </c>
      <c r="W172" s="10" t="s">
        <v>1808</v>
      </c>
    </row>
    <row r="173" spans="2:23" ht="24.9" customHeight="1" x14ac:dyDescent="0.25">
      <c r="B173" s="16" t="s">
        <v>49</v>
      </c>
      <c r="C173" s="18">
        <v>200</v>
      </c>
      <c r="D173" s="11" t="s">
        <v>1544</v>
      </c>
      <c r="E173" s="54" t="s">
        <v>1908</v>
      </c>
      <c r="F173" s="11" t="s">
        <v>1545</v>
      </c>
      <c r="G173" s="11" t="s">
        <v>1808</v>
      </c>
      <c r="H173" s="11" t="s">
        <v>1546</v>
      </c>
      <c r="I173" s="11"/>
      <c r="J173" s="11" t="s">
        <v>1547</v>
      </c>
      <c r="K173" s="11" t="s">
        <v>1808</v>
      </c>
      <c r="L173" s="11" t="s">
        <v>136</v>
      </c>
      <c r="M173" s="11" t="s">
        <v>1808</v>
      </c>
      <c r="N173" s="11" t="s">
        <v>218</v>
      </c>
      <c r="O173" s="11" t="s">
        <v>1808</v>
      </c>
      <c r="P173" s="11" t="s">
        <v>1548</v>
      </c>
      <c r="Q173" s="11" t="s">
        <v>1808</v>
      </c>
      <c r="R173" s="11" t="s">
        <v>1549</v>
      </c>
      <c r="S173" s="11" t="s">
        <v>1808</v>
      </c>
      <c r="T173" s="11" t="s">
        <v>1594</v>
      </c>
      <c r="U173" s="11" t="s">
        <v>1808</v>
      </c>
      <c r="V173" s="11" t="s">
        <v>1595</v>
      </c>
      <c r="W173" s="10" t="s">
        <v>1808</v>
      </c>
    </row>
    <row r="174" spans="2:23" ht="24.9" customHeight="1" x14ac:dyDescent="0.25">
      <c r="B174" s="16" t="s">
        <v>49</v>
      </c>
      <c r="C174" s="18">
        <v>300</v>
      </c>
      <c r="D174" s="11" t="s">
        <v>1550</v>
      </c>
      <c r="E174" s="54" t="s">
        <v>1807</v>
      </c>
      <c r="F174" s="11" t="s">
        <v>1552</v>
      </c>
      <c r="G174" s="11" t="s">
        <v>1808</v>
      </c>
      <c r="H174" s="11" t="s">
        <v>1553</v>
      </c>
      <c r="I174" s="11"/>
      <c r="J174" s="11" t="s">
        <v>1554</v>
      </c>
      <c r="K174" s="11" t="s">
        <v>1808</v>
      </c>
      <c r="L174" s="11" t="s">
        <v>136</v>
      </c>
      <c r="M174" s="11" t="s">
        <v>1808</v>
      </c>
      <c r="N174" s="11" t="s">
        <v>219</v>
      </c>
      <c r="O174" s="11" t="s">
        <v>1808</v>
      </c>
      <c r="P174" s="11" t="s">
        <v>1555</v>
      </c>
      <c r="Q174" s="11" t="s">
        <v>1808</v>
      </c>
      <c r="R174" s="11" t="s">
        <v>1556</v>
      </c>
      <c r="S174" s="11" t="s">
        <v>1808</v>
      </c>
      <c r="T174" s="11" t="s">
        <v>1596</v>
      </c>
      <c r="U174" s="11" t="s">
        <v>1808</v>
      </c>
      <c r="V174" s="11" t="s">
        <v>1597</v>
      </c>
      <c r="W174" s="10" t="s">
        <v>1808</v>
      </c>
    </row>
    <row r="175" spans="2:23" ht="24.9" customHeight="1" x14ac:dyDescent="0.25">
      <c r="B175" s="16" t="s">
        <v>49</v>
      </c>
      <c r="C175" s="17">
        <v>400</v>
      </c>
      <c r="D175" s="11" t="s">
        <v>1862</v>
      </c>
      <c r="E175" s="54" t="s">
        <v>1807</v>
      </c>
      <c r="F175" s="11" t="s">
        <v>1557</v>
      </c>
      <c r="G175" s="11" t="s">
        <v>1808</v>
      </c>
      <c r="H175" s="11" t="s">
        <v>1558</v>
      </c>
      <c r="I175" s="11"/>
      <c r="J175" s="11" t="s">
        <v>1559</v>
      </c>
      <c r="K175" s="11" t="s">
        <v>1808</v>
      </c>
      <c r="L175" s="11" t="s">
        <v>731</v>
      </c>
      <c r="M175" s="11" t="s">
        <v>1808</v>
      </c>
      <c r="N175" s="11" t="s">
        <v>111</v>
      </c>
      <c r="O175" s="54" t="s">
        <v>1808</v>
      </c>
      <c r="P175" s="11" t="s">
        <v>1560</v>
      </c>
      <c r="Q175" s="54" t="s">
        <v>1807</v>
      </c>
      <c r="R175" s="11" t="s">
        <v>1561</v>
      </c>
      <c r="S175" s="11" t="s">
        <v>1808</v>
      </c>
      <c r="T175" s="11" t="s">
        <v>1598</v>
      </c>
      <c r="U175" s="11" t="s">
        <v>1808</v>
      </c>
      <c r="V175" s="11" t="s">
        <v>1599</v>
      </c>
      <c r="W175" s="10" t="s">
        <v>1808</v>
      </c>
    </row>
    <row r="176" spans="2:23" ht="24.9" customHeight="1" x14ac:dyDescent="0.25">
      <c r="B176" s="16" t="s">
        <v>49</v>
      </c>
      <c r="C176" s="18">
        <v>500</v>
      </c>
      <c r="D176" s="11" t="s">
        <v>80</v>
      </c>
      <c r="E176" s="54" t="s">
        <v>1908</v>
      </c>
      <c r="F176" s="11" t="s">
        <v>1562</v>
      </c>
      <c r="G176" s="11" t="s">
        <v>1808</v>
      </c>
      <c r="H176" s="11" t="s">
        <v>1563</v>
      </c>
      <c r="I176" s="11"/>
      <c r="J176" s="11" t="s">
        <v>1564</v>
      </c>
      <c r="K176" s="11" t="s">
        <v>1808</v>
      </c>
      <c r="L176" s="11" t="s">
        <v>111</v>
      </c>
      <c r="M176" s="11" t="s">
        <v>1808</v>
      </c>
      <c r="N176" s="11" t="s">
        <v>63</v>
      </c>
      <c r="O176" s="54" t="s">
        <v>1807</v>
      </c>
      <c r="P176" s="11" t="s">
        <v>1871</v>
      </c>
      <c r="Q176" s="54" t="s">
        <v>1908</v>
      </c>
      <c r="R176" s="11" t="s">
        <v>1565</v>
      </c>
      <c r="S176" s="11" t="s">
        <v>1808</v>
      </c>
      <c r="T176" s="11" t="s">
        <v>90</v>
      </c>
      <c r="U176" s="11" t="s">
        <v>1808</v>
      </c>
      <c r="V176" s="11" t="s">
        <v>1600</v>
      </c>
      <c r="W176" s="10" t="s">
        <v>1808</v>
      </c>
    </row>
    <row r="177" spans="2:23" ht="24.9" customHeight="1" x14ac:dyDescent="0.25">
      <c r="B177" s="16"/>
      <c r="C177" s="18"/>
      <c r="D177" s="11"/>
      <c r="E177" s="11"/>
      <c r="F177" s="11"/>
      <c r="G177" s="11"/>
      <c r="H177" s="11"/>
      <c r="I177" s="11"/>
      <c r="J177" s="11"/>
      <c r="K177" s="11"/>
      <c r="L177" s="11"/>
      <c r="M177" s="11"/>
      <c r="N177" s="11"/>
      <c r="O177" s="11"/>
      <c r="P177" s="11"/>
      <c r="Q177" s="11"/>
      <c r="R177" s="11"/>
      <c r="S177" s="11"/>
      <c r="T177" s="11"/>
      <c r="U177" s="11"/>
      <c r="V177" s="11"/>
    </row>
    <row r="178" spans="2:23" ht="24.9" customHeight="1" x14ac:dyDescent="0.25">
      <c r="B178" s="16" t="s">
        <v>50</v>
      </c>
      <c r="C178" s="17">
        <v>100</v>
      </c>
      <c r="D178" s="11" t="s">
        <v>857</v>
      </c>
      <c r="E178" s="54" t="s">
        <v>1908</v>
      </c>
      <c r="F178" s="11" t="s">
        <v>1566</v>
      </c>
      <c r="G178" s="11" t="s">
        <v>1808</v>
      </c>
      <c r="H178" s="11" t="s">
        <v>1567</v>
      </c>
      <c r="I178" s="11"/>
      <c r="J178" s="11" t="s">
        <v>1568</v>
      </c>
      <c r="K178" s="11" t="s">
        <v>1808</v>
      </c>
      <c r="L178" s="11" t="s">
        <v>133</v>
      </c>
      <c r="M178" s="11" t="s">
        <v>1808</v>
      </c>
      <c r="N178" s="11" t="s">
        <v>1569</v>
      </c>
      <c r="O178" s="11" t="s">
        <v>1808</v>
      </c>
      <c r="P178" s="11" t="s">
        <v>1570</v>
      </c>
      <c r="Q178" s="11" t="s">
        <v>1808</v>
      </c>
      <c r="R178" s="11" t="s">
        <v>1571</v>
      </c>
      <c r="S178" s="11" t="s">
        <v>1808</v>
      </c>
      <c r="T178" s="11" t="s">
        <v>1601</v>
      </c>
      <c r="U178" s="11" t="s">
        <v>1808</v>
      </c>
      <c r="V178" s="11" t="s">
        <v>1602</v>
      </c>
      <c r="W178" s="10" t="s">
        <v>1808</v>
      </c>
    </row>
    <row r="179" spans="2:23" ht="24.9" customHeight="1" x14ac:dyDescent="0.25">
      <c r="B179" s="16" t="s">
        <v>50</v>
      </c>
      <c r="C179" s="18">
        <v>200</v>
      </c>
      <c r="D179" s="11" t="s">
        <v>111</v>
      </c>
      <c r="E179" s="54" t="s">
        <v>1908</v>
      </c>
      <c r="F179" s="11" t="s">
        <v>1572</v>
      </c>
      <c r="G179" s="11" t="s">
        <v>1808</v>
      </c>
      <c r="H179" s="11" t="s">
        <v>1573</v>
      </c>
      <c r="I179" s="11"/>
      <c r="J179" s="11" t="s">
        <v>1574</v>
      </c>
      <c r="K179" s="11" t="s">
        <v>1808</v>
      </c>
      <c r="L179" s="11" t="s">
        <v>731</v>
      </c>
      <c r="M179" s="11" t="s">
        <v>1808</v>
      </c>
      <c r="N179" s="11" t="s">
        <v>220</v>
      </c>
      <c r="O179" s="11" t="s">
        <v>1808</v>
      </c>
      <c r="P179" s="11" t="s">
        <v>1575</v>
      </c>
      <c r="Q179" s="11" t="s">
        <v>1808</v>
      </c>
      <c r="R179" s="11" t="s">
        <v>1576</v>
      </c>
      <c r="S179" s="11" t="s">
        <v>1808</v>
      </c>
      <c r="T179" s="11" t="s">
        <v>1603</v>
      </c>
      <c r="U179" s="11" t="s">
        <v>1808</v>
      </c>
      <c r="V179" s="11" t="s">
        <v>1604</v>
      </c>
      <c r="W179" s="10" t="s">
        <v>1808</v>
      </c>
    </row>
    <row r="180" spans="2:23" ht="24.9" customHeight="1" x14ac:dyDescent="0.25">
      <c r="B180" s="16" t="s">
        <v>50</v>
      </c>
      <c r="C180" s="18">
        <v>300</v>
      </c>
      <c r="D180" s="11" t="s">
        <v>1863</v>
      </c>
      <c r="E180" s="54" t="s">
        <v>1908</v>
      </c>
      <c r="F180" s="11" t="s">
        <v>1577</v>
      </c>
      <c r="G180" s="11" t="s">
        <v>1808</v>
      </c>
      <c r="H180" s="11" t="s">
        <v>1578</v>
      </c>
      <c r="I180" s="11"/>
      <c r="J180" s="11" t="s">
        <v>1579</v>
      </c>
      <c r="K180" s="11" t="s">
        <v>1808</v>
      </c>
      <c r="L180" s="11" t="s">
        <v>133</v>
      </c>
      <c r="M180" s="11" t="s">
        <v>1808</v>
      </c>
      <c r="N180" s="11" t="s">
        <v>1569</v>
      </c>
      <c r="O180" s="11" t="s">
        <v>1808</v>
      </c>
      <c r="P180" s="11" t="s">
        <v>1580</v>
      </c>
      <c r="Q180" s="11" t="s">
        <v>1808</v>
      </c>
      <c r="R180" s="11" t="s">
        <v>1581</v>
      </c>
      <c r="S180" s="11" t="s">
        <v>1808</v>
      </c>
      <c r="T180" s="11" t="s">
        <v>1605</v>
      </c>
      <c r="U180" s="11" t="s">
        <v>1808</v>
      </c>
      <c r="V180" s="11" t="s">
        <v>1606</v>
      </c>
      <c r="W180" s="10" t="s">
        <v>1808</v>
      </c>
    </row>
    <row r="181" spans="2:23" ht="24.9" customHeight="1" x14ac:dyDescent="0.25">
      <c r="B181" s="16" t="s">
        <v>50</v>
      </c>
      <c r="C181" s="17">
        <v>400</v>
      </c>
      <c r="D181" s="11" t="s">
        <v>1864</v>
      </c>
      <c r="E181" s="54" t="s">
        <v>1908</v>
      </c>
      <c r="F181" s="11" t="s">
        <v>1582</v>
      </c>
      <c r="G181" s="11" t="s">
        <v>1808</v>
      </c>
      <c r="H181" s="11" t="s">
        <v>1583</v>
      </c>
      <c r="I181" s="11"/>
      <c r="J181" s="11" t="s">
        <v>1584</v>
      </c>
      <c r="K181" s="11" t="s">
        <v>1808</v>
      </c>
      <c r="L181" s="11" t="s">
        <v>90</v>
      </c>
      <c r="M181" s="11" t="s">
        <v>1808</v>
      </c>
      <c r="N181" s="11" t="s">
        <v>134</v>
      </c>
      <c r="O181" s="11" t="s">
        <v>1808</v>
      </c>
      <c r="P181" s="11" t="s">
        <v>1585</v>
      </c>
      <c r="Q181" s="11" t="s">
        <v>1808</v>
      </c>
      <c r="R181" s="11" t="s">
        <v>1586</v>
      </c>
      <c r="S181" s="11" t="s">
        <v>1808</v>
      </c>
      <c r="T181" s="11" t="s">
        <v>1607</v>
      </c>
      <c r="U181" s="11" t="s">
        <v>1808</v>
      </c>
      <c r="V181" s="11" t="s">
        <v>1608</v>
      </c>
      <c r="W181" s="10" t="s">
        <v>1808</v>
      </c>
    </row>
    <row r="182" spans="2:23" ht="24.9" customHeight="1" x14ac:dyDescent="0.25">
      <c r="B182" s="19" t="s">
        <v>50</v>
      </c>
      <c r="C182" s="20">
        <v>500</v>
      </c>
      <c r="D182" s="14" t="s">
        <v>63</v>
      </c>
      <c r="E182" s="59" t="s">
        <v>1908</v>
      </c>
      <c r="F182" s="14" t="s">
        <v>1587</v>
      </c>
      <c r="G182" s="14" t="s">
        <v>1808</v>
      </c>
      <c r="H182" s="14" t="s">
        <v>1588</v>
      </c>
      <c r="I182" s="14"/>
      <c r="J182" s="14" t="s">
        <v>1589</v>
      </c>
      <c r="K182" s="14" t="s">
        <v>1808</v>
      </c>
      <c r="L182" s="14" t="s">
        <v>186</v>
      </c>
      <c r="M182" s="14" t="s">
        <v>1808</v>
      </c>
      <c r="N182" s="14" t="s">
        <v>111</v>
      </c>
      <c r="O182" s="14" t="s">
        <v>1808</v>
      </c>
      <c r="P182" s="14" t="s">
        <v>1590</v>
      </c>
      <c r="Q182" s="14" t="s">
        <v>1808</v>
      </c>
      <c r="R182" s="14" t="s">
        <v>1591</v>
      </c>
      <c r="S182" s="14" t="s">
        <v>1808</v>
      </c>
      <c r="T182" s="14" t="s">
        <v>1609</v>
      </c>
      <c r="U182" s="14" t="s">
        <v>1808</v>
      </c>
      <c r="V182" s="14" t="s">
        <v>1610</v>
      </c>
      <c r="W182" s="13" t="s">
        <v>1808</v>
      </c>
    </row>
    <row r="183" spans="2:23" ht="24.9" customHeight="1" x14ac:dyDescent="0.25">
      <c r="B183" s="100" t="s">
        <v>1909</v>
      </c>
    </row>
    <row r="184" spans="2:23" ht="24.9" customHeight="1" x14ac:dyDescent="0.25"/>
    <row r="185" spans="2:23" ht="24.9" customHeight="1" x14ac:dyDescent="0.25"/>
    <row r="186" spans="2:23" ht="24.9" customHeight="1" x14ac:dyDescent="0.25"/>
    <row r="187" spans="2:23" ht="24.9" customHeight="1" x14ac:dyDescent="0.25"/>
    <row r="188" spans="2:23" ht="24.9" customHeight="1" x14ac:dyDescent="0.25"/>
    <row r="189" spans="2:23" ht="24.9" customHeight="1" x14ac:dyDescent="0.25"/>
    <row r="190" spans="2:23" ht="24.9" customHeight="1" x14ac:dyDescent="0.25"/>
  </sheetData>
  <mergeCells count="1">
    <mergeCell ref="B2:V2"/>
  </mergeCells>
  <conditionalFormatting sqref="C142:C182">
    <cfRule type="cellIs" dxfId="28" priority="1" operator="lessThan">
      <formula>0.001</formula>
    </cfRule>
  </conditionalFormatting>
  <conditionalFormatting sqref="C142:W182">
    <cfRule type="cellIs" dxfId="27" priority="2" operator="equal">
      <formula>"&lt; LOD"</formula>
    </cfRule>
    <cfRule type="cellIs" dxfId="26" priority="3" operator="equal">
      <formula>"&lt; LOQ"</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0DDC7-2484-4211-BD7E-D32D7F6AAEC0}">
  <sheetPr codeName="Sheet13"/>
  <dimension ref="A1:W183"/>
  <sheetViews>
    <sheetView zoomScale="70" zoomScaleNormal="70" workbookViewId="0">
      <pane ySplit="3" topLeftCell="A4" activePane="bottomLeft" state="frozen"/>
      <selection activeCell="H9" sqref="H9"/>
      <selection pane="bottomLeft" activeCell="B3" sqref="B3"/>
    </sheetView>
  </sheetViews>
  <sheetFormatPr defaultColWidth="8.88671875" defaultRowHeight="21.75" customHeight="1" x14ac:dyDescent="0.25"/>
  <cols>
    <col min="1" max="1" width="6.33203125" style="1" customWidth="1"/>
    <col min="2" max="2" width="43" style="1" customWidth="1"/>
    <col min="3" max="3" width="8.88671875" style="1"/>
    <col min="4" max="4" width="15.6640625" style="1" customWidth="1"/>
    <col min="5" max="5" width="16.6640625" style="10" customWidth="1"/>
    <col min="6" max="6" width="15.6640625" style="1" customWidth="1"/>
    <col min="7" max="7" width="16.6640625" style="10" customWidth="1"/>
    <col min="8" max="8" width="15.6640625" style="1" customWidth="1"/>
    <col min="9" max="9" width="16.6640625" style="10" customWidth="1"/>
    <col min="10" max="10" width="15.6640625" style="1" customWidth="1"/>
    <col min="11" max="11" width="16.6640625" style="10" customWidth="1"/>
    <col min="12" max="12" width="15.6640625" style="1" customWidth="1"/>
    <col min="13" max="13" width="16.6640625" style="10" customWidth="1"/>
    <col min="14" max="14" width="15.6640625" style="1" customWidth="1"/>
    <col min="15" max="15" width="16.6640625" style="10" customWidth="1"/>
    <col min="16" max="16" width="15.6640625" style="1" customWidth="1"/>
    <col min="17" max="17" width="16.6640625" style="10" customWidth="1"/>
    <col min="18" max="18" width="15.6640625" style="1" customWidth="1"/>
    <col min="19" max="19" width="16.6640625" style="10" customWidth="1"/>
    <col min="20" max="20" width="15.6640625" style="1" customWidth="1"/>
    <col min="21" max="21" width="16.6640625" style="10" customWidth="1"/>
    <col min="22" max="22" width="15.6640625" style="1" customWidth="1"/>
    <col min="23" max="23" width="16.44140625" style="10" customWidth="1"/>
    <col min="24" max="16384" width="8.88671875" style="1"/>
  </cols>
  <sheetData>
    <row r="1" spans="1:23" ht="13.2" x14ac:dyDescent="0.25"/>
    <row r="2" spans="1:23" ht="32.25" customHeight="1" thickBot="1" x14ac:dyDescent="0.3">
      <c r="B2" s="159" t="s">
        <v>1914</v>
      </c>
      <c r="C2" s="159"/>
      <c r="D2" s="159"/>
      <c r="E2" s="159"/>
      <c r="F2" s="159"/>
      <c r="G2" s="159"/>
      <c r="H2" s="159"/>
      <c r="I2" s="159"/>
      <c r="J2" s="159"/>
      <c r="K2" s="159"/>
      <c r="L2" s="159"/>
      <c r="M2" s="159"/>
      <c r="N2" s="159"/>
      <c r="O2" s="159"/>
      <c r="P2" s="159"/>
      <c r="Q2" s="159"/>
      <c r="R2" s="159"/>
      <c r="S2" s="159"/>
      <c r="T2" s="159"/>
      <c r="U2" s="159"/>
      <c r="V2" s="159"/>
      <c r="W2" s="3"/>
    </row>
    <row r="3" spans="1:23" s="10" customFormat="1" ht="21.75" customHeight="1" x14ac:dyDescent="0.3">
      <c r="A3" s="11"/>
      <c r="B3" s="50" t="s">
        <v>0</v>
      </c>
      <c r="C3" s="21" t="s">
        <v>1</v>
      </c>
      <c r="D3" s="21" t="s">
        <v>556</v>
      </c>
      <c r="E3" s="21" t="s">
        <v>1806</v>
      </c>
      <c r="F3" s="21" t="s">
        <v>498</v>
      </c>
      <c r="G3" s="21" t="s">
        <v>1809</v>
      </c>
      <c r="H3" s="21" t="s">
        <v>502</v>
      </c>
      <c r="I3" s="21" t="s">
        <v>1810</v>
      </c>
      <c r="J3" s="21" t="s">
        <v>559</v>
      </c>
      <c r="K3" s="21" t="s">
        <v>1811</v>
      </c>
      <c r="L3" s="21" t="s">
        <v>503</v>
      </c>
      <c r="M3" s="21" t="s">
        <v>1812</v>
      </c>
      <c r="N3" s="21" t="s">
        <v>504</v>
      </c>
      <c r="O3" s="21" t="s">
        <v>1813</v>
      </c>
      <c r="P3" s="21" t="s">
        <v>505</v>
      </c>
      <c r="Q3" s="21" t="s">
        <v>1815</v>
      </c>
      <c r="R3" s="21" t="s">
        <v>499</v>
      </c>
      <c r="S3" s="21" t="s">
        <v>1816</v>
      </c>
      <c r="T3" s="21" t="s">
        <v>561</v>
      </c>
      <c r="U3" s="21" t="s">
        <v>1817</v>
      </c>
      <c r="V3" s="21" t="s">
        <v>7</v>
      </c>
      <c r="W3" s="21" t="s">
        <v>1818</v>
      </c>
    </row>
    <row r="4" spans="1:23" ht="21.75" customHeight="1" x14ac:dyDescent="0.25">
      <c r="B4" s="16" t="s">
        <v>1014</v>
      </c>
      <c r="C4" s="17">
        <v>100</v>
      </c>
      <c r="D4" s="62">
        <v>2.6173070032074657</v>
      </c>
      <c r="E4" s="62" t="s">
        <v>1908</v>
      </c>
      <c r="F4" s="62">
        <v>23.947663404844409</v>
      </c>
      <c r="G4" s="62" t="s">
        <v>1807</v>
      </c>
      <c r="H4" s="62">
        <v>6.7585652729175232</v>
      </c>
      <c r="I4" s="62" t="s">
        <v>1908</v>
      </c>
      <c r="J4" s="62">
        <v>27.552055592202031</v>
      </c>
      <c r="K4" s="62" t="s">
        <v>1908</v>
      </c>
      <c r="L4" s="62">
        <v>1.408492612463766</v>
      </c>
      <c r="M4" s="62" t="s">
        <v>1808</v>
      </c>
      <c r="N4" s="62" t="s">
        <v>1907</v>
      </c>
      <c r="O4" s="62" t="s">
        <v>1808</v>
      </c>
      <c r="P4" s="62">
        <v>2.6532528195815881</v>
      </c>
      <c r="Q4" s="62" t="s">
        <v>1908</v>
      </c>
      <c r="R4" s="62">
        <v>0.20670752452074215</v>
      </c>
      <c r="S4" s="62" t="s">
        <v>1908</v>
      </c>
      <c r="T4" s="62" t="s">
        <v>1907</v>
      </c>
      <c r="U4" s="62" t="s">
        <v>1808</v>
      </c>
      <c r="V4" s="62">
        <v>4.3247700545108758</v>
      </c>
      <c r="W4" s="10" t="s">
        <v>1908</v>
      </c>
    </row>
    <row r="5" spans="1:23" ht="21.75" customHeight="1" x14ac:dyDescent="0.25">
      <c r="B5" s="16" t="s">
        <v>1014</v>
      </c>
      <c r="C5" s="18">
        <v>200</v>
      </c>
      <c r="D5" s="62">
        <v>16.885848175918131</v>
      </c>
      <c r="E5" s="62" t="s">
        <v>1807</v>
      </c>
      <c r="F5" s="62">
        <v>93.998047392786532</v>
      </c>
      <c r="G5" s="62" t="s">
        <v>1808</v>
      </c>
      <c r="H5" s="62">
        <v>5.6110585663674621</v>
      </c>
      <c r="I5" s="62" t="s">
        <v>1908</v>
      </c>
      <c r="J5" s="62">
        <v>86.302164886943032</v>
      </c>
      <c r="K5" s="62" t="s">
        <v>1807</v>
      </c>
      <c r="L5" s="62">
        <v>1.756186641822691</v>
      </c>
      <c r="M5" s="62" t="s">
        <v>1808</v>
      </c>
      <c r="N5" s="62" t="s">
        <v>1907</v>
      </c>
      <c r="O5" s="62" t="s">
        <v>1808</v>
      </c>
      <c r="P5" s="62">
        <v>1.0826299860316659</v>
      </c>
      <c r="Q5" s="62" t="s">
        <v>1908</v>
      </c>
      <c r="R5" s="62">
        <v>0.44258934624898877</v>
      </c>
      <c r="S5" s="62" t="s">
        <v>1908</v>
      </c>
      <c r="T5" s="62" t="s">
        <v>1907</v>
      </c>
      <c r="U5" s="62" t="s">
        <v>1808</v>
      </c>
      <c r="V5" s="62">
        <v>1.8554532854171206</v>
      </c>
      <c r="W5" s="10" t="s">
        <v>1908</v>
      </c>
    </row>
    <row r="6" spans="1:23" ht="21.75" customHeight="1" x14ac:dyDescent="0.25">
      <c r="B6" s="16" t="s">
        <v>1014</v>
      </c>
      <c r="C6" s="18">
        <v>300</v>
      </c>
      <c r="D6" s="62">
        <v>129.08864714447776</v>
      </c>
      <c r="E6" s="62" t="s">
        <v>1808</v>
      </c>
      <c r="F6" s="62">
        <v>549.48299228779422</v>
      </c>
      <c r="G6" s="62" t="s">
        <v>1808</v>
      </c>
      <c r="H6" s="62">
        <v>3.5174965977458847</v>
      </c>
      <c r="I6" s="62" t="s">
        <v>1908</v>
      </c>
      <c r="J6" s="62">
        <v>176.51931596797903</v>
      </c>
      <c r="K6" s="62" t="s">
        <v>1807</v>
      </c>
      <c r="L6" s="62">
        <v>1.593010174387413</v>
      </c>
      <c r="M6" s="62" t="s">
        <v>1808</v>
      </c>
      <c r="N6" s="62" t="s">
        <v>1907</v>
      </c>
      <c r="O6" s="62" t="s">
        <v>1808</v>
      </c>
      <c r="P6" s="62">
        <v>1.6185746824882477</v>
      </c>
      <c r="Q6" s="62" t="s">
        <v>1908</v>
      </c>
      <c r="R6" s="62">
        <v>0.41380146446111021</v>
      </c>
      <c r="S6" s="62" t="s">
        <v>1908</v>
      </c>
      <c r="T6" s="62" t="s">
        <v>1907</v>
      </c>
      <c r="U6" s="62" t="s">
        <v>1808</v>
      </c>
      <c r="V6" s="62">
        <v>2.3899221145978586</v>
      </c>
      <c r="W6" s="10" t="s">
        <v>1908</v>
      </c>
    </row>
    <row r="7" spans="1:23" ht="21.75" customHeight="1" x14ac:dyDescent="0.25">
      <c r="B7" s="16" t="s">
        <v>1014</v>
      </c>
      <c r="C7" s="17">
        <v>400</v>
      </c>
      <c r="D7" s="62">
        <v>214.79118967877972</v>
      </c>
      <c r="E7" s="62" t="s">
        <v>1808</v>
      </c>
      <c r="F7" s="62">
        <v>920.8197303492542</v>
      </c>
      <c r="G7" s="62" t="s">
        <v>1808</v>
      </c>
      <c r="H7" s="62">
        <v>2.2500617907284171</v>
      </c>
      <c r="I7" s="62" t="s">
        <v>1908</v>
      </c>
      <c r="J7" s="62">
        <v>214.33329663139656</v>
      </c>
      <c r="K7" s="62" t="s">
        <v>1807</v>
      </c>
      <c r="L7" s="62">
        <v>1.9027080673076286</v>
      </c>
      <c r="M7" s="62" t="s">
        <v>1808</v>
      </c>
      <c r="N7" s="62" t="s">
        <v>1907</v>
      </c>
      <c r="O7" s="62" t="s">
        <v>1808</v>
      </c>
      <c r="P7" s="62">
        <v>1.2354544615355327</v>
      </c>
      <c r="Q7" s="62" t="s">
        <v>1908</v>
      </c>
      <c r="R7" s="62">
        <v>0.29753515034021916</v>
      </c>
      <c r="S7" s="62" t="s">
        <v>1908</v>
      </c>
      <c r="T7" s="62" t="s">
        <v>1907</v>
      </c>
      <c r="U7" s="62" t="s">
        <v>1808</v>
      </c>
      <c r="V7" s="62">
        <v>2.3148951199068595</v>
      </c>
      <c r="W7" s="10" t="s">
        <v>1908</v>
      </c>
    </row>
    <row r="8" spans="1:23" ht="21.75" customHeight="1" x14ac:dyDescent="0.25">
      <c r="B8" s="16" t="s">
        <v>1014</v>
      </c>
      <c r="C8" s="18">
        <v>500</v>
      </c>
      <c r="D8" s="62">
        <v>254.97783625656277</v>
      </c>
      <c r="E8" s="62" t="s">
        <v>1808</v>
      </c>
      <c r="F8" s="54">
        <v>1164.4841701790563</v>
      </c>
      <c r="G8" s="62" t="s">
        <v>1808</v>
      </c>
      <c r="H8" s="62">
        <v>6.2199968719042964</v>
      </c>
      <c r="I8" s="62" t="s">
        <v>1908</v>
      </c>
      <c r="J8" s="62">
        <v>378.77021252131351</v>
      </c>
      <c r="K8" s="62" t="s">
        <v>1808</v>
      </c>
      <c r="L8" s="62">
        <v>2.6859782181638847</v>
      </c>
      <c r="M8" s="62" t="s">
        <v>1808</v>
      </c>
      <c r="N8" s="62">
        <v>1.1205237605697218E-2</v>
      </c>
      <c r="O8" s="62" t="s">
        <v>1908</v>
      </c>
      <c r="P8" s="62">
        <v>1.6968164182648497</v>
      </c>
      <c r="Q8" s="62" t="s">
        <v>1908</v>
      </c>
      <c r="R8" s="62">
        <v>0.4565878347101559</v>
      </c>
      <c r="S8" s="62" t="s">
        <v>1908</v>
      </c>
      <c r="T8" s="62">
        <v>8.0404461941719057E-3</v>
      </c>
      <c r="U8" s="62" t="s">
        <v>1908</v>
      </c>
      <c r="V8" s="62">
        <v>3.1765105261237068</v>
      </c>
      <c r="W8" s="10" t="s">
        <v>1908</v>
      </c>
    </row>
    <row r="9" spans="1:23" ht="21.75" customHeight="1" x14ac:dyDescent="0.25">
      <c r="B9" s="16" t="s">
        <v>1014</v>
      </c>
      <c r="C9" s="17">
        <v>600</v>
      </c>
      <c r="D9" s="62">
        <v>43.229815398705206</v>
      </c>
      <c r="E9" s="62" t="s">
        <v>1807</v>
      </c>
      <c r="F9" s="62">
        <v>143.54165758246563</v>
      </c>
      <c r="G9" s="62" t="s">
        <v>1808</v>
      </c>
      <c r="H9" s="62">
        <v>1.5497514485776742</v>
      </c>
      <c r="I9" s="62" t="s">
        <v>1908</v>
      </c>
      <c r="J9" s="62">
        <v>178.56772946373349</v>
      </c>
      <c r="K9" s="62" t="s">
        <v>1807</v>
      </c>
      <c r="L9" s="62">
        <v>1.218997212961322</v>
      </c>
      <c r="M9" s="62" t="s">
        <v>1808</v>
      </c>
      <c r="N9" s="62">
        <v>1.5648355356969623E-2</v>
      </c>
      <c r="O9" s="62" t="s">
        <v>1908</v>
      </c>
      <c r="P9" s="62">
        <v>46.501363656710801</v>
      </c>
      <c r="Q9" s="62" t="s">
        <v>1807</v>
      </c>
      <c r="R9" s="62">
        <v>0.36708489251137272</v>
      </c>
      <c r="S9" s="62" t="s">
        <v>1908</v>
      </c>
      <c r="T9" s="62">
        <v>6.5623007869982403E-2</v>
      </c>
      <c r="U9" s="62" t="s">
        <v>1908</v>
      </c>
      <c r="V9" s="62">
        <v>0.93915332088323533</v>
      </c>
      <c r="W9" s="10" t="s">
        <v>1908</v>
      </c>
    </row>
    <row r="10" spans="1:23" ht="21.75" customHeight="1" x14ac:dyDescent="0.25">
      <c r="B10" s="16" t="s">
        <v>1014</v>
      </c>
      <c r="C10" s="18">
        <v>700</v>
      </c>
      <c r="D10" s="62">
        <v>127.54195658375555</v>
      </c>
      <c r="E10" s="62" t="s">
        <v>1808</v>
      </c>
      <c r="F10" s="62">
        <v>584.50064984491496</v>
      </c>
      <c r="G10" s="62" t="s">
        <v>1808</v>
      </c>
      <c r="H10" s="62">
        <v>1.681099398849879</v>
      </c>
      <c r="I10" s="62" t="s">
        <v>1908</v>
      </c>
      <c r="J10" s="62">
        <v>365.37557851462708</v>
      </c>
      <c r="K10" s="62" t="s">
        <v>1808</v>
      </c>
      <c r="L10" s="62">
        <v>1.5432057887792638</v>
      </c>
      <c r="M10" s="62" t="s">
        <v>1808</v>
      </c>
      <c r="N10" s="62">
        <v>3.4207040917626101E-2</v>
      </c>
      <c r="O10" s="62" t="s">
        <v>1908</v>
      </c>
      <c r="P10" s="62">
        <v>9.533779242166009</v>
      </c>
      <c r="Q10" s="62" t="s">
        <v>1908</v>
      </c>
      <c r="R10" s="62">
        <v>0.4861267049316208</v>
      </c>
      <c r="S10" s="62" t="s">
        <v>1908</v>
      </c>
      <c r="T10" s="62">
        <v>3.5148467200612925E-2</v>
      </c>
      <c r="U10" s="62" t="s">
        <v>1908</v>
      </c>
      <c r="V10" s="62">
        <v>2.25475038542378</v>
      </c>
      <c r="W10" s="10" t="s">
        <v>1908</v>
      </c>
    </row>
    <row r="11" spans="1:23" ht="21.75" customHeight="1" x14ac:dyDescent="0.25">
      <c r="B11" s="16" t="s">
        <v>1014</v>
      </c>
      <c r="C11" s="17">
        <v>800</v>
      </c>
      <c r="D11" s="62">
        <v>333.77044057175851</v>
      </c>
      <c r="E11" s="62" t="s">
        <v>1808</v>
      </c>
      <c r="F11" s="62">
        <v>1584.566244402808</v>
      </c>
      <c r="G11" s="62" t="s">
        <v>1808</v>
      </c>
      <c r="H11" s="62">
        <v>0.74975851510410874</v>
      </c>
      <c r="I11" s="62" t="s">
        <v>1908</v>
      </c>
      <c r="J11" s="62">
        <v>544.92093078389735</v>
      </c>
      <c r="K11" s="62" t="s">
        <v>1808</v>
      </c>
      <c r="L11" s="62">
        <v>1.5518674657350571</v>
      </c>
      <c r="M11" s="62" t="s">
        <v>1808</v>
      </c>
      <c r="N11" s="62" t="s">
        <v>1907</v>
      </c>
      <c r="O11" s="62" t="s">
        <v>1808</v>
      </c>
      <c r="P11" s="62">
        <v>4.0460556393185279</v>
      </c>
      <c r="Q11" s="62" t="s">
        <v>1908</v>
      </c>
      <c r="R11" s="62">
        <v>0.58614328850144803</v>
      </c>
      <c r="S11" s="62" t="s">
        <v>1908</v>
      </c>
      <c r="T11" s="62">
        <v>3.9742819502826786E-2</v>
      </c>
      <c r="U11" s="62" t="s">
        <v>1908</v>
      </c>
      <c r="V11" s="62" t="s">
        <v>1907</v>
      </c>
      <c r="W11" s="10" t="s">
        <v>1808</v>
      </c>
    </row>
    <row r="12" spans="1:23" ht="21.75" customHeight="1" x14ac:dyDescent="0.25">
      <c r="B12" s="16" t="s">
        <v>1014</v>
      </c>
      <c r="C12" s="18">
        <v>900</v>
      </c>
      <c r="D12" s="62">
        <v>374.49106085171422</v>
      </c>
      <c r="E12" s="62" t="s">
        <v>1808</v>
      </c>
      <c r="F12" s="62">
        <v>1860.0887218952043</v>
      </c>
      <c r="G12" s="62" t="s">
        <v>1808</v>
      </c>
      <c r="H12" s="62">
        <v>3.0753506331940894</v>
      </c>
      <c r="I12" s="62" t="s">
        <v>1908</v>
      </c>
      <c r="J12" s="62">
        <v>585.05152767814684</v>
      </c>
      <c r="K12" s="62" t="s">
        <v>1808</v>
      </c>
      <c r="L12" s="62">
        <v>1.5222188248112776</v>
      </c>
      <c r="M12" s="62" t="s">
        <v>1808</v>
      </c>
      <c r="N12" s="62">
        <v>6.1308467932854806E-2</v>
      </c>
      <c r="O12" s="62" t="s">
        <v>1908</v>
      </c>
      <c r="P12" s="62" t="s">
        <v>1907</v>
      </c>
      <c r="Q12" s="62" t="s">
        <v>1808</v>
      </c>
      <c r="R12" s="62">
        <v>0.60762658675301884</v>
      </c>
      <c r="S12" s="62" t="s">
        <v>1908</v>
      </c>
      <c r="T12" s="62">
        <v>9.3439185859070864E-2</v>
      </c>
      <c r="U12" s="62" t="s">
        <v>1908</v>
      </c>
      <c r="V12" s="62" t="s">
        <v>1907</v>
      </c>
      <c r="W12" s="10" t="s">
        <v>1808</v>
      </c>
    </row>
    <row r="13" spans="1:23" ht="21.75" customHeight="1" x14ac:dyDescent="0.25">
      <c r="B13" s="16" t="s">
        <v>1014</v>
      </c>
      <c r="C13" s="17">
        <v>1000</v>
      </c>
      <c r="D13" s="62">
        <v>705.64891420584388</v>
      </c>
      <c r="E13" s="62" t="s">
        <v>1808</v>
      </c>
      <c r="F13" s="62">
        <v>4118.3495537898161</v>
      </c>
      <c r="G13" s="62" t="s">
        <v>1808</v>
      </c>
      <c r="H13" s="62">
        <v>22.765710710386386</v>
      </c>
      <c r="I13" s="62" t="s">
        <v>1807</v>
      </c>
      <c r="J13" s="62">
        <v>1117.1579534126411</v>
      </c>
      <c r="K13" s="62" t="s">
        <v>1808</v>
      </c>
      <c r="L13" s="62">
        <v>1.5791408217951772</v>
      </c>
      <c r="M13" s="62" t="s">
        <v>1808</v>
      </c>
      <c r="N13" s="62">
        <v>3.3211559883598182E-2</v>
      </c>
      <c r="O13" s="62" t="s">
        <v>1908</v>
      </c>
      <c r="P13" s="62" t="s">
        <v>1907</v>
      </c>
      <c r="Q13" s="62" t="s">
        <v>1808</v>
      </c>
      <c r="R13" s="62">
        <v>0.93145349600329641</v>
      </c>
      <c r="S13" s="62" t="s">
        <v>1807</v>
      </c>
      <c r="T13" s="62">
        <v>4.7787799255954701E-2</v>
      </c>
      <c r="U13" s="62" t="s">
        <v>1908</v>
      </c>
      <c r="V13" s="62">
        <v>13.497596736533787</v>
      </c>
      <c r="W13" s="10" t="s">
        <v>1807</v>
      </c>
    </row>
    <row r="14" spans="1:23" ht="21.75" customHeight="1" x14ac:dyDescent="0.25">
      <c r="B14" s="16" t="s">
        <v>1014</v>
      </c>
      <c r="C14" s="18">
        <v>1100</v>
      </c>
      <c r="D14" s="62">
        <v>447.7051080294076</v>
      </c>
      <c r="E14" s="62" t="s">
        <v>1808</v>
      </c>
      <c r="F14" s="62">
        <v>2425.3136951607712</v>
      </c>
      <c r="G14" s="62" t="s">
        <v>1808</v>
      </c>
      <c r="H14" s="62" t="s">
        <v>1907</v>
      </c>
      <c r="I14" s="62" t="s">
        <v>1808</v>
      </c>
      <c r="J14" s="62">
        <v>750.44748872779769</v>
      </c>
      <c r="K14" s="62" t="s">
        <v>1808</v>
      </c>
      <c r="L14" s="62">
        <v>1.9392217891848993</v>
      </c>
      <c r="M14" s="62" t="s">
        <v>1808</v>
      </c>
      <c r="N14" s="62">
        <v>7.8717278375035893E-3</v>
      </c>
      <c r="O14" s="62" t="s">
        <v>1908</v>
      </c>
      <c r="P14" s="62">
        <v>1.7938145471329547</v>
      </c>
      <c r="Q14" s="62" t="s">
        <v>1908</v>
      </c>
      <c r="R14" s="62" t="s">
        <v>1907</v>
      </c>
      <c r="S14" s="62" t="s">
        <v>1808</v>
      </c>
      <c r="T14" s="62">
        <v>5.4401473706795059E-2</v>
      </c>
      <c r="U14" s="62" t="s">
        <v>1908</v>
      </c>
      <c r="V14" s="62" t="s">
        <v>1907</v>
      </c>
      <c r="W14" s="10" t="s">
        <v>1808</v>
      </c>
    </row>
    <row r="15" spans="1:23" ht="21.75" customHeight="1" x14ac:dyDescent="0.25">
      <c r="B15" s="16" t="s">
        <v>1014</v>
      </c>
      <c r="C15" s="17">
        <v>1200</v>
      </c>
      <c r="D15" s="62">
        <v>910.8224317381007</v>
      </c>
      <c r="E15" s="62" t="s">
        <v>1808</v>
      </c>
      <c r="F15" s="62">
        <v>5019.9798157022442</v>
      </c>
      <c r="G15" s="62" t="s">
        <v>1808</v>
      </c>
      <c r="H15" s="62" t="s">
        <v>1907</v>
      </c>
      <c r="I15" s="62" t="s">
        <v>1808</v>
      </c>
      <c r="J15" s="62">
        <v>1321.6468909453322</v>
      </c>
      <c r="K15" s="62" t="s">
        <v>1808</v>
      </c>
      <c r="L15" s="62">
        <v>2.2317610513261981</v>
      </c>
      <c r="M15" s="62" t="s">
        <v>1808</v>
      </c>
      <c r="N15" s="62">
        <v>2.9689645723264102E-2</v>
      </c>
      <c r="O15" s="62" t="s">
        <v>1908</v>
      </c>
      <c r="P15" s="62" t="s">
        <v>1907</v>
      </c>
      <c r="Q15" s="62" t="s">
        <v>1808</v>
      </c>
      <c r="R15" s="62" t="s">
        <v>1907</v>
      </c>
      <c r="S15" s="62" t="s">
        <v>1808</v>
      </c>
      <c r="T15" s="62">
        <v>3.5366883577871336E-2</v>
      </c>
      <c r="U15" s="62" t="s">
        <v>1908</v>
      </c>
      <c r="V15" s="62" t="s">
        <v>1907</v>
      </c>
      <c r="W15" s="10" t="s">
        <v>1808</v>
      </c>
    </row>
    <row r="16" spans="1:23" ht="21.75" customHeight="1" x14ac:dyDescent="0.25">
      <c r="B16" s="16" t="s">
        <v>1014</v>
      </c>
      <c r="C16" s="18">
        <v>1300</v>
      </c>
      <c r="D16" s="62">
        <v>1035.3570780300008</v>
      </c>
      <c r="E16" s="62" t="s">
        <v>1808</v>
      </c>
      <c r="F16" s="62">
        <v>6380.4315388713167</v>
      </c>
      <c r="G16" s="62" t="s">
        <v>1808</v>
      </c>
      <c r="H16" s="62" t="s">
        <v>1907</v>
      </c>
      <c r="I16" s="62" t="s">
        <v>1808</v>
      </c>
      <c r="J16" s="62">
        <v>1590.447294874449</v>
      </c>
      <c r="K16" s="62" t="s">
        <v>1808</v>
      </c>
      <c r="L16" s="62">
        <v>2.4364599346272846</v>
      </c>
      <c r="M16" s="62" t="s">
        <v>1808</v>
      </c>
      <c r="N16" s="62">
        <v>1.5798018404038296E-2</v>
      </c>
      <c r="O16" s="62" t="s">
        <v>1908</v>
      </c>
      <c r="P16" s="62" t="s">
        <v>1907</v>
      </c>
      <c r="Q16" s="62" t="s">
        <v>1808</v>
      </c>
      <c r="R16" s="62">
        <v>0.35139144409726153</v>
      </c>
      <c r="S16" s="62" t="s">
        <v>1908</v>
      </c>
      <c r="T16" s="62">
        <v>8.4412667733188035E-2</v>
      </c>
      <c r="U16" s="62" t="s">
        <v>1908</v>
      </c>
      <c r="V16" s="62" t="s">
        <v>1907</v>
      </c>
      <c r="W16" s="10" t="s">
        <v>1808</v>
      </c>
    </row>
    <row r="17" spans="2:23" ht="21.75" customHeight="1" x14ac:dyDescent="0.25">
      <c r="B17" s="16" t="s">
        <v>1014</v>
      </c>
      <c r="C17" s="17">
        <v>1400</v>
      </c>
      <c r="D17" s="62">
        <v>1043.5392856268347</v>
      </c>
      <c r="E17" s="62" t="s">
        <v>1808</v>
      </c>
      <c r="F17" s="62">
        <v>6453.9811116498586</v>
      </c>
      <c r="G17" s="62" t="s">
        <v>1808</v>
      </c>
      <c r="H17" s="62" t="s">
        <v>1907</v>
      </c>
      <c r="I17" s="62" t="s">
        <v>1808</v>
      </c>
      <c r="J17" s="62">
        <v>1749.6804550705526</v>
      </c>
      <c r="K17" s="62" t="s">
        <v>1808</v>
      </c>
      <c r="L17" s="62">
        <v>2.3466187906364788</v>
      </c>
      <c r="M17" s="62" t="s">
        <v>1808</v>
      </c>
      <c r="N17" s="62">
        <v>1.6799708842480732</v>
      </c>
      <c r="O17" s="62" t="s">
        <v>1808</v>
      </c>
      <c r="P17" s="62">
        <v>6.1310802425733479</v>
      </c>
      <c r="Q17" s="62" t="s">
        <v>1908</v>
      </c>
      <c r="R17" s="62">
        <v>0.42775330730589234</v>
      </c>
      <c r="S17" s="62" t="s">
        <v>1908</v>
      </c>
      <c r="T17" s="62">
        <v>5.2732505372660381E-2</v>
      </c>
      <c r="U17" s="62" t="s">
        <v>1908</v>
      </c>
      <c r="V17" s="62" t="s">
        <v>1907</v>
      </c>
      <c r="W17" s="10" t="s">
        <v>1808</v>
      </c>
    </row>
    <row r="18" spans="2:23" ht="21.75" customHeight="1" x14ac:dyDescent="0.25">
      <c r="B18" s="16" t="s">
        <v>1014</v>
      </c>
      <c r="C18" s="18">
        <v>1500</v>
      </c>
      <c r="D18" s="62">
        <v>803.93326134153517</v>
      </c>
      <c r="E18" s="62" t="s">
        <v>1808</v>
      </c>
      <c r="F18" s="62">
        <v>7809.9011161690496</v>
      </c>
      <c r="G18" s="62" t="s">
        <v>1808</v>
      </c>
      <c r="H18" s="62">
        <v>28.495706663696552</v>
      </c>
      <c r="I18" s="62" t="s">
        <v>1807</v>
      </c>
      <c r="J18" s="62">
        <v>3765.1497674236198</v>
      </c>
      <c r="K18" s="62" t="s">
        <v>1808</v>
      </c>
      <c r="L18" s="62">
        <v>1.7361078818966968</v>
      </c>
      <c r="M18" s="62" t="s">
        <v>1808</v>
      </c>
      <c r="N18" s="62">
        <v>0.19560498296395304</v>
      </c>
      <c r="O18" s="62" t="s">
        <v>1807</v>
      </c>
      <c r="P18" s="62">
        <v>60.284799651472156</v>
      </c>
      <c r="Q18" s="62" t="s">
        <v>1807</v>
      </c>
      <c r="R18" s="62">
        <v>0.63261650504075007</v>
      </c>
      <c r="S18" s="62" t="s">
        <v>1807</v>
      </c>
      <c r="T18" s="62">
        <v>0.31169495485164161</v>
      </c>
      <c r="U18" s="62" t="s">
        <v>1807</v>
      </c>
      <c r="V18" s="62">
        <v>17.847299649600956</v>
      </c>
      <c r="W18" s="10" t="s">
        <v>1807</v>
      </c>
    </row>
    <row r="19" spans="2:23" ht="21.75" customHeight="1" x14ac:dyDescent="0.25">
      <c r="B19" s="16" t="s">
        <v>1015</v>
      </c>
      <c r="C19" s="17">
        <v>100</v>
      </c>
      <c r="D19" s="62">
        <v>6.2139390335843734</v>
      </c>
      <c r="E19" s="62" t="s">
        <v>1908</v>
      </c>
      <c r="F19" s="62">
        <v>157.40994413173337</v>
      </c>
      <c r="G19" s="62" t="s">
        <v>1808</v>
      </c>
      <c r="H19" s="62">
        <v>23.1706352994429</v>
      </c>
      <c r="I19" s="62" t="s">
        <v>1807</v>
      </c>
      <c r="J19" s="62">
        <v>176.49578690781274</v>
      </c>
      <c r="K19" s="62" t="s">
        <v>1807</v>
      </c>
      <c r="L19" s="62">
        <v>1.6648541355015918</v>
      </c>
      <c r="M19" s="62" t="s">
        <v>1808</v>
      </c>
      <c r="N19" s="62" t="s">
        <v>1907</v>
      </c>
      <c r="O19" s="62" t="s">
        <v>1808</v>
      </c>
      <c r="P19" s="62" t="s">
        <v>1907</v>
      </c>
      <c r="Q19" s="62" t="s">
        <v>1808</v>
      </c>
      <c r="R19" s="62">
        <v>0.26987536722242061</v>
      </c>
      <c r="S19" s="62" t="s">
        <v>1908</v>
      </c>
      <c r="T19" s="62" t="s">
        <v>1907</v>
      </c>
      <c r="U19" s="62" t="s">
        <v>1808</v>
      </c>
      <c r="V19" s="62">
        <v>13.530431569312071</v>
      </c>
      <c r="W19" s="10" t="s">
        <v>1908</v>
      </c>
    </row>
    <row r="20" spans="2:23" ht="21.75" customHeight="1" x14ac:dyDescent="0.25">
      <c r="B20" s="16" t="s">
        <v>1015</v>
      </c>
      <c r="C20" s="18">
        <v>200</v>
      </c>
      <c r="D20" s="62">
        <v>84.782822766361505</v>
      </c>
      <c r="E20" s="62" t="s">
        <v>1808</v>
      </c>
      <c r="F20" s="62">
        <v>454.8840856571</v>
      </c>
      <c r="G20" s="62" t="s">
        <v>1808</v>
      </c>
      <c r="H20" s="62" t="s">
        <v>1907</v>
      </c>
      <c r="I20" s="62" t="s">
        <v>1808</v>
      </c>
      <c r="J20" s="62">
        <v>322.90016344743123</v>
      </c>
      <c r="K20" s="62" t="s">
        <v>1808</v>
      </c>
      <c r="L20" s="62">
        <v>1.9474462355948323</v>
      </c>
      <c r="M20" s="62" t="s">
        <v>1808</v>
      </c>
      <c r="N20" s="62">
        <v>0.10390044180046895</v>
      </c>
      <c r="O20" s="62" t="s">
        <v>1908</v>
      </c>
      <c r="P20" s="62" t="s">
        <v>1907</v>
      </c>
      <c r="Q20" s="62" t="s">
        <v>1808</v>
      </c>
      <c r="R20" s="62">
        <v>0.6317315060048565</v>
      </c>
      <c r="S20" s="62" t="s">
        <v>1908</v>
      </c>
      <c r="T20" s="62" t="s">
        <v>1907</v>
      </c>
      <c r="U20" s="62" t="s">
        <v>1808</v>
      </c>
      <c r="V20" s="62">
        <v>1.1174308768260004</v>
      </c>
      <c r="W20" s="10" t="s">
        <v>1908</v>
      </c>
    </row>
    <row r="21" spans="2:23" ht="21.75" customHeight="1" x14ac:dyDescent="0.25">
      <c r="B21" s="16" t="s">
        <v>1015</v>
      </c>
      <c r="C21" s="18">
        <v>300</v>
      </c>
      <c r="D21" s="62">
        <v>105.7057867408864</v>
      </c>
      <c r="E21" s="62" t="s">
        <v>1808</v>
      </c>
      <c r="F21" s="62">
        <v>810.076786934648</v>
      </c>
      <c r="G21" s="62" t="s">
        <v>1808</v>
      </c>
      <c r="H21" s="62">
        <v>9.7204757697200783</v>
      </c>
      <c r="I21" s="62" t="s">
        <v>1908</v>
      </c>
      <c r="J21" s="62">
        <v>378.20546197557411</v>
      </c>
      <c r="K21" s="62" t="s">
        <v>1808</v>
      </c>
      <c r="L21" s="62">
        <v>1.9943768893712657</v>
      </c>
      <c r="M21" s="62" t="s">
        <v>1808</v>
      </c>
      <c r="N21" s="62">
        <v>9.2464000403717161E-2</v>
      </c>
      <c r="O21" s="62" t="s">
        <v>1908</v>
      </c>
      <c r="P21" s="62" t="s">
        <v>1907</v>
      </c>
      <c r="Q21" s="62" t="s">
        <v>1808</v>
      </c>
      <c r="R21" s="62">
        <v>0.62486118117547496</v>
      </c>
      <c r="S21" s="62" t="s">
        <v>1908</v>
      </c>
      <c r="T21" s="62" t="s">
        <v>1907</v>
      </c>
      <c r="U21" s="62" t="s">
        <v>1808</v>
      </c>
      <c r="V21" s="62">
        <v>5.2712820155559506</v>
      </c>
      <c r="W21" s="10" t="s">
        <v>1908</v>
      </c>
    </row>
    <row r="22" spans="2:23" ht="21.75" customHeight="1" x14ac:dyDescent="0.25">
      <c r="B22" s="16" t="s">
        <v>1015</v>
      </c>
      <c r="C22" s="17">
        <v>400</v>
      </c>
      <c r="D22" s="62">
        <v>147.82915182996658</v>
      </c>
      <c r="E22" s="62" t="s">
        <v>1808</v>
      </c>
      <c r="F22" s="62">
        <v>1070.5058020935408</v>
      </c>
      <c r="G22" s="62" t="s">
        <v>1808</v>
      </c>
      <c r="H22" s="62">
        <v>3.7295129539731282</v>
      </c>
      <c r="I22" s="62" t="s">
        <v>1908</v>
      </c>
      <c r="J22" s="62">
        <v>593.2136868878157</v>
      </c>
      <c r="K22" s="62" t="s">
        <v>1808</v>
      </c>
      <c r="L22" s="62">
        <v>2.3661734947162238</v>
      </c>
      <c r="M22" s="62" t="s">
        <v>1808</v>
      </c>
      <c r="N22" s="62">
        <v>3.4107719594571664E-3</v>
      </c>
      <c r="O22" s="62" t="s">
        <v>1908</v>
      </c>
      <c r="P22" s="62" t="s">
        <v>1907</v>
      </c>
      <c r="Q22" s="62" t="s">
        <v>1808</v>
      </c>
      <c r="R22" s="62">
        <v>0.68684181538223177</v>
      </c>
      <c r="S22" s="62" t="s">
        <v>1908</v>
      </c>
      <c r="T22" s="62">
        <v>1.6015033984859706E-2</v>
      </c>
      <c r="U22" s="62" t="s">
        <v>1908</v>
      </c>
      <c r="V22" s="62">
        <v>1.098567771003931</v>
      </c>
      <c r="W22" s="10" t="s">
        <v>1908</v>
      </c>
    </row>
    <row r="23" spans="2:23" ht="21.75" customHeight="1" x14ac:dyDescent="0.25">
      <c r="B23" s="16" t="s">
        <v>1015</v>
      </c>
      <c r="C23" s="18">
        <v>500</v>
      </c>
      <c r="D23" s="62">
        <v>185.92191565381509</v>
      </c>
      <c r="E23" s="62" t="s">
        <v>1808</v>
      </c>
      <c r="F23" s="62">
        <v>1226.3217424197637</v>
      </c>
      <c r="G23" s="62" t="s">
        <v>1808</v>
      </c>
      <c r="H23" s="62">
        <v>27.934634008435129</v>
      </c>
      <c r="I23" s="62" t="s">
        <v>1807</v>
      </c>
      <c r="J23" s="62">
        <v>866.72631884096529</v>
      </c>
      <c r="K23" s="62" t="s">
        <v>1808</v>
      </c>
      <c r="L23" s="62">
        <v>2.2773650989700918</v>
      </c>
      <c r="M23" s="62" t="s">
        <v>1808</v>
      </c>
      <c r="N23" s="62">
        <v>3.9500792621343352E-2</v>
      </c>
      <c r="O23" s="62" t="s">
        <v>1908</v>
      </c>
      <c r="P23" s="62" t="s">
        <v>1907</v>
      </c>
      <c r="Q23" s="62" t="s">
        <v>1808</v>
      </c>
      <c r="R23" s="62">
        <v>0.93158303258820618</v>
      </c>
      <c r="S23" s="62" t="s">
        <v>1908</v>
      </c>
      <c r="T23" s="62">
        <v>2.5000728513610484E-2</v>
      </c>
      <c r="U23" s="62" t="s">
        <v>1908</v>
      </c>
      <c r="V23" s="62">
        <v>9.5402833901570503</v>
      </c>
      <c r="W23" s="10" t="s">
        <v>1908</v>
      </c>
    </row>
    <row r="24" spans="2:23" ht="21.75" customHeight="1" x14ac:dyDescent="0.25">
      <c r="B24" s="16" t="s">
        <v>1016</v>
      </c>
      <c r="C24" s="17">
        <v>100</v>
      </c>
      <c r="D24" s="62">
        <v>9.000276427596237</v>
      </c>
      <c r="E24" s="62" t="s">
        <v>1908</v>
      </c>
      <c r="F24" s="62">
        <v>277.79607712260872</v>
      </c>
      <c r="G24" s="62" t="s">
        <v>1808</v>
      </c>
      <c r="H24" s="62">
        <v>5.6249347900309781</v>
      </c>
      <c r="I24" s="62" t="s">
        <v>1908</v>
      </c>
      <c r="J24" s="62">
        <v>213.70607838056665</v>
      </c>
      <c r="K24" s="62" t="s">
        <v>1807</v>
      </c>
      <c r="L24" s="62">
        <v>1.7667822414340277</v>
      </c>
      <c r="M24" s="62" t="s">
        <v>1808</v>
      </c>
      <c r="N24" s="62">
        <v>4.1615740737483309E-2</v>
      </c>
      <c r="O24" s="62" t="s">
        <v>1908</v>
      </c>
      <c r="P24" s="62">
        <v>20.143991603025267</v>
      </c>
      <c r="Q24" s="62" t="s">
        <v>1908</v>
      </c>
      <c r="R24" s="62">
        <v>0.45510109385996933</v>
      </c>
      <c r="S24" s="62" t="s">
        <v>1908</v>
      </c>
      <c r="T24" s="62">
        <v>5.2184864465167263E-2</v>
      </c>
      <c r="U24" s="62" t="s">
        <v>1908</v>
      </c>
      <c r="V24" s="62">
        <v>4.2648153794109191</v>
      </c>
      <c r="W24" s="10" t="s">
        <v>1908</v>
      </c>
    </row>
    <row r="25" spans="2:23" ht="21.75" customHeight="1" x14ac:dyDescent="0.25">
      <c r="B25" s="16" t="s">
        <v>1016</v>
      </c>
      <c r="C25" s="18">
        <v>200</v>
      </c>
      <c r="D25" s="62">
        <v>18.379210175818269</v>
      </c>
      <c r="E25" s="62" t="s">
        <v>1908</v>
      </c>
      <c r="F25" s="62">
        <v>294.25114767945672</v>
      </c>
      <c r="G25" s="62" t="s">
        <v>1808</v>
      </c>
      <c r="H25" s="62">
        <v>2.741954067550465</v>
      </c>
      <c r="I25" s="62" t="s">
        <v>1908</v>
      </c>
      <c r="J25" s="62">
        <v>407.11655624875664</v>
      </c>
      <c r="K25" s="62" t="s">
        <v>1808</v>
      </c>
      <c r="L25" s="62">
        <v>1.856087717464723</v>
      </c>
      <c r="M25" s="62" t="s">
        <v>1808</v>
      </c>
      <c r="N25" s="62">
        <v>0.40551228459903321</v>
      </c>
      <c r="O25" s="62" t="s">
        <v>1807</v>
      </c>
      <c r="P25" s="62">
        <v>12.016140187331953</v>
      </c>
      <c r="Q25" s="62" t="s">
        <v>1908</v>
      </c>
      <c r="R25" s="62">
        <v>0.60671691859117083</v>
      </c>
      <c r="S25" s="62" t="s">
        <v>1908</v>
      </c>
      <c r="T25" s="62">
        <v>3.7049396824251263E-2</v>
      </c>
      <c r="U25" s="62" t="s">
        <v>1908</v>
      </c>
      <c r="V25" s="62">
        <v>1.7487434304984699</v>
      </c>
      <c r="W25" s="10" t="s">
        <v>1908</v>
      </c>
    </row>
    <row r="26" spans="2:23" ht="21.75" customHeight="1" x14ac:dyDescent="0.25">
      <c r="B26" s="16" t="s">
        <v>1016</v>
      </c>
      <c r="C26" s="18">
        <v>300</v>
      </c>
      <c r="D26" s="62">
        <v>25.638208150027452</v>
      </c>
      <c r="E26" s="62" t="s">
        <v>1807</v>
      </c>
      <c r="F26" s="62">
        <v>213.4080592192613</v>
      </c>
      <c r="G26" s="62" t="s">
        <v>1808</v>
      </c>
      <c r="H26" s="62">
        <v>4.9783286171639967</v>
      </c>
      <c r="I26" s="62" t="s">
        <v>1908</v>
      </c>
      <c r="J26" s="62">
        <v>861.28737707561061</v>
      </c>
      <c r="K26" s="62" t="s">
        <v>1808</v>
      </c>
      <c r="L26" s="62">
        <v>1.8067882978425696</v>
      </c>
      <c r="M26" s="62" t="s">
        <v>1808</v>
      </c>
      <c r="N26" s="62">
        <v>2.7885478907046596E-2</v>
      </c>
      <c r="O26" s="62" t="s">
        <v>1908</v>
      </c>
      <c r="P26" s="62">
        <v>27.044395713944457</v>
      </c>
      <c r="Q26" s="62" t="s">
        <v>1908</v>
      </c>
      <c r="R26" s="62">
        <v>0.72018327947882244</v>
      </c>
      <c r="S26" s="62" t="s">
        <v>1908</v>
      </c>
      <c r="T26" s="62">
        <v>4.7683034348532563E-2</v>
      </c>
      <c r="U26" s="62" t="s">
        <v>1908</v>
      </c>
      <c r="V26" s="62">
        <v>3.7631711690055054</v>
      </c>
      <c r="W26" s="10" t="s">
        <v>1908</v>
      </c>
    </row>
    <row r="27" spans="2:23" ht="21.75" customHeight="1" x14ac:dyDescent="0.25">
      <c r="B27" s="16" t="s">
        <v>1016</v>
      </c>
      <c r="C27" s="17">
        <v>400</v>
      </c>
      <c r="D27" s="62">
        <v>47.498162437506501</v>
      </c>
      <c r="E27" s="62" t="s">
        <v>1807</v>
      </c>
      <c r="F27" s="62">
        <v>316.97046236938809</v>
      </c>
      <c r="G27" s="62" t="s">
        <v>1808</v>
      </c>
      <c r="H27" s="62">
        <v>10.762700953407176</v>
      </c>
      <c r="I27" s="62" t="s">
        <v>1908</v>
      </c>
      <c r="J27" s="62">
        <v>529.52352620712236</v>
      </c>
      <c r="K27" s="62" t="s">
        <v>1808</v>
      </c>
      <c r="L27" s="62">
        <v>2.2842856927891906</v>
      </c>
      <c r="M27" s="62" t="s">
        <v>1808</v>
      </c>
      <c r="N27" s="62" t="s">
        <v>1907</v>
      </c>
      <c r="O27" s="62" t="s">
        <v>1808</v>
      </c>
      <c r="P27" s="62">
        <v>8.1097889045943106</v>
      </c>
      <c r="Q27" s="62" t="s">
        <v>1908</v>
      </c>
      <c r="R27" s="62">
        <v>0.67447298126722488</v>
      </c>
      <c r="S27" s="62" t="s">
        <v>1908</v>
      </c>
      <c r="T27" s="62">
        <v>7.517332821556344E-2</v>
      </c>
      <c r="U27" s="62" t="s">
        <v>1908</v>
      </c>
      <c r="V27" s="62">
        <v>5.7089451696665137</v>
      </c>
      <c r="W27" s="10" t="s">
        <v>1908</v>
      </c>
    </row>
    <row r="28" spans="2:23" ht="21.75" customHeight="1" x14ac:dyDescent="0.25">
      <c r="B28" s="16" t="s">
        <v>1016</v>
      </c>
      <c r="C28" s="18">
        <v>500</v>
      </c>
      <c r="D28" s="62">
        <v>80.53380121106116</v>
      </c>
      <c r="E28" s="62" t="s">
        <v>1808</v>
      </c>
      <c r="F28" s="62">
        <v>449.75559404593338</v>
      </c>
      <c r="G28" s="62" t="s">
        <v>1808</v>
      </c>
      <c r="H28" s="62">
        <v>1.9158787552686674</v>
      </c>
      <c r="I28" s="62" t="s">
        <v>1908</v>
      </c>
      <c r="J28" s="62">
        <v>559.89244561916291</v>
      </c>
      <c r="K28" s="62" t="s">
        <v>1808</v>
      </c>
      <c r="L28" s="62">
        <v>1.8420167527632763</v>
      </c>
      <c r="M28" s="62" t="s">
        <v>1808</v>
      </c>
      <c r="N28" s="62">
        <v>1.0286100127871118E-2</v>
      </c>
      <c r="O28" s="62" t="s">
        <v>1908</v>
      </c>
      <c r="P28" s="62">
        <v>1.9152234675395043</v>
      </c>
      <c r="Q28" s="62" t="s">
        <v>1908</v>
      </c>
      <c r="R28" s="62">
        <v>0.69279024677061118</v>
      </c>
      <c r="S28" s="62" t="s">
        <v>1908</v>
      </c>
      <c r="T28" s="62">
        <v>4.8569009652633312E-2</v>
      </c>
      <c r="U28" s="62" t="s">
        <v>1908</v>
      </c>
      <c r="V28" s="62">
        <v>7.7138882029075386</v>
      </c>
      <c r="W28" s="10" t="s">
        <v>1908</v>
      </c>
    </row>
    <row r="29" spans="2:23" ht="21.75" customHeight="1" x14ac:dyDescent="0.25">
      <c r="B29" s="16" t="s">
        <v>1344</v>
      </c>
      <c r="C29" s="17">
        <v>100</v>
      </c>
      <c r="D29" s="62">
        <v>119.47279633344503</v>
      </c>
      <c r="E29" s="62" t="s">
        <v>1808</v>
      </c>
      <c r="F29" s="62">
        <v>94.585635263160995</v>
      </c>
      <c r="G29" s="62" t="s">
        <v>1808</v>
      </c>
      <c r="H29" s="62">
        <v>19.288221976162802</v>
      </c>
      <c r="I29" s="62" t="s">
        <v>1908</v>
      </c>
      <c r="J29" s="62">
        <v>30.776930762683076</v>
      </c>
      <c r="K29" s="62" t="s">
        <v>1908</v>
      </c>
      <c r="L29" s="62">
        <v>3.6950519533854762</v>
      </c>
      <c r="M29" s="62" t="s">
        <v>1808</v>
      </c>
      <c r="N29" s="62" t="s">
        <v>1907</v>
      </c>
      <c r="O29" s="62" t="s">
        <v>1808</v>
      </c>
      <c r="P29" s="62">
        <v>5.6110101973343669</v>
      </c>
      <c r="Q29" s="62" t="s">
        <v>1908</v>
      </c>
      <c r="R29" s="62">
        <v>1.2744026656654959</v>
      </c>
      <c r="S29" s="62" t="s">
        <v>1807</v>
      </c>
      <c r="T29" s="62">
        <v>1.4703479083678743E-3</v>
      </c>
      <c r="U29" s="62" t="s">
        <v>1908</v>
      </c>
      <c r="V29" s="62">
        <v>14.541476858423254</v>
      </c>
      <c r="W29" s="10" t="s">
        <v>1807</v>
      </c>
    </row>
    <row r="30" spans="2:23" ht="21.75" customHeight="1" x14ac:dyDescent="0.25">
      <c r="B30" s="16" t="s">
        <v>1344</v>
      </c>
      <c r="C30" s="18">
        <v>200</v>
      </c>
      <c r="D30" s="62">
        <v>264.68337737169725</v>
      </c>
      <c r="E30" s="62" t="s">
        <v>1808</v>
      </c>
      <c r="F30" s="62">
        <v>201.92619906343569</v>
      </c>
      <c r="G30" s="62" t="s">
        <v>1808</v>
      </c>
      <c r="H30" s="62">
        <v>338.14262795210044</v>
      </c>
      <c r="I30" s="62" t="s">
        <v>1808</v>
      </c>
      <c r="J30" s="62">
        <v>231.15505617054112</v>
      </c>
      <c r="K30" s="62" t="s">
        <v>1807</v>
      </c>
      <c r="L30" s="62">
        <v>3.9827112684148438</v>
      </c>
      <c r="M30" s="62" t="s">
        <v>1808</v>
      </c>
      <c r="N30" s="62">
        <v>1.1771953430834081</v>
      </c>
      <c r="O30" s="62" t="s">
        <v>1808</v>
      </c>
      <c r="P30" s="62">
        <v>34.450880811327025</v>
      </c>
      <c r="Q30" s="62" t="s">
        <v>1908</v>
      </c>
      <c r="R30" s="62">
        <v>2.6025529390688273</v>
      </c>
      <c r="S30" s="62" t="s">
        <v>1807</v>
      </c>
      <c r="T30" s="62">
        <v>0.22780922230381506</v>
      </c>
      <c r="U30" s="62" t="s">
        <v>1908</v>
      </c>
      <c r="V30" s="62">
        <v>84.639147899393322</v>
      </c>
      <c r="W30" s="10" t="s">
        <v>1808</v>
      </c>
    </row>
    <row r="31" spans="2:23" ht="21.75" customHeight="1" x14ac:dyDescent="0.25">
      <c r="B31" s="16" t="s">
        <v>1344</v>
      </c>
      <c r="C31" s="18">
        <v>300</v>
      </c>
      <c r="D31" s="62">
        <v>308.46455285520591</v>
      </c>
      <c r="E31" s="62" t="s">
        <v>1808</v>
      </c>
      <c r="F31" s="62">
        <v>262.09638322967373</v>
      </c>
      <c r="G31" s="62" t="s">
        <v>1808</v>
      </c>
      <c r="H31" s="62">
        <v>15.11625876105461</v>
      </c>
      <c r="I31" s="62" t="s">
        <v>1908</v>
      </c>
      <c r="J31" s="62">
        <v>40.916515991824767</v>
      </c>
      <c r="K31" s="62" t="s">
        <v>1908</v>
      </c>
      <c r="L31" s="62">
        <v>4.2282963556776281</v>
      </c>
      <c r="M31" s="62" t="s">
        <v>1808</v>
      </c>
      <c r="N31" s="62" t="s">
        <v>1907</v>
      </c>
      <c r="O31" s="62" t="s">
        <v>1808</v>
      </c>
      <c r="P31" s="62">
        <v>5.2957411954665377</v>
      </c>
      <c r="Q31" s="62" t="s">
        <v>1908</v>
      </c>
      <c r="R31" s="62">
        <v>1.7162823099111066</v>
      </c>
      <c r="S31" s="62" t="s">
        <v>1807</v>
      </c>
      <c r="T31" s="62">
        <v>3.5713084601410316E-3</v>
      </c>
      <c r="U31" s="62" t="s">
        <v>1908</v>
      </c>
      <c r="V31" s="62">
        <v>9.1581618137065011</v>
      </c>
      <c r="W31" s="10" t="s">
        <v>1908</v>
      </c>
    </row>
    <row r="32" spans="2:23" ht="21.75" customHeight="1" x14ac:dyDescent="0.25">
      <c r="B32" s="16" t="s">
        <v>1344</v>
      </c>
      <c r="C32" s="17">
        <v>400</v>
      </c>
      <c r="D32" s="62">
        <v>135.96261801475544</v>
      </c>
      <c r="E32" s="62" t="s">
        <v>1808</v>
      </c>
      <c r="F32" s="62">
        <v>127.39618763094558</v>
      </c>
      <c r="G32" s="62" t="s">
        <v>1808</v>
      </c>
      <c r="H32" s="62">
        <v>3.9504368509598828</v>
      </c>
      <c r="I32" s="62" t="s">
        <v>1908</v>
      </c>
      <c r="J32" s="62">
        <v>41.809351751597937</v>
      </c>
      <c r="K32" s="62" t="s">
        <v>1908</v>
      </c>
      <c r="L32" s="62">
        <v>3.8448849648202499</v>
      </c>
      <c r="M32" s="62" t="s">
        <v>1808</v>
      </c>
      <c r="N32" s="62">
        <v>4.2410100242419126E-2</v>
      </c>
      <c r="O32" s="62" t="s">
        <v>1908</v>
      </c>
      <c r="P32" s="62" t="s">
        <v>1907</v>
      </c>
      <c r="Q32" s="62" t="s">
        <v>1808</v>
      </c>
      <c r="R32" s="62">
        <v>1.1796383836949138</v>
      </c>
      <c r="S32" s="62" t="s">
        <v>1807</v>
      </c>
      <c r="T32" s="62">
        <v>1.3534192260290375E-2</v>
      </c>
      <c r="U32" s="62" t="s">
        <v>1908</v>
      </c>
      <c r="V32" s="62" t="s">
        <v>1907</v>
      </c>
      <c r="W32" s="10" t="s">
        <v>1808</v>
      </c>
    </row>
    <row r="33" spans="2:23" ht="21.75" customHeight="1" x14ac:dyDescent="0.25">
      <c r="B33" s="16" t="s">
        <v>1344</v>
      </c>
      <c r="C33" s="18">
        <v>500</v>
      </c>
      <c r="D33" s="62">
        <v>214.09676014318711</v>
      </c>
      <c r="E33" s="62" t="s">
        <v>1808</v>
      </c>
      <c r="F33" s="62">
        <v>107.78659908319332</v>
      </c>
      <c r="G33" s="62" t="s">
        <v>1808</v>
      </c>
      <c r="H33" s="62">
        <v>7.7613815262889974</v>
      </c>
      <c r="I33" s="62" t="s">
        <v>1908</v>
      </c>
      <c r="J33" s="62">
        <v>101.83858190327561</v>
      </c>
      <c r="K33" s="62" t="s">
        <v>1807</v>
      </c>
      <c r="L33" s="62">
        <v>4.2004771490037696</v>
      </c>
      <c r="M33" s="62" t="s">
        <v>1808</v>
      </c>
      <c r="N33" s="62">
        <v>2.3173718991444277E-2</v>
      </c>
      <c r="O33" s="62" t="s">
        <v>1908</v>
      </c>
      <c r="P33" s="62">
        <v>73.473133742556456</v>
      </c>
      <c r="Q33" s="62" t="s">
        <v>1807</v>
      </c>
      <c r="R33" s="62">
        <v>1.7499201116184162</v>
      </c>
      <c r="S33" s="62" t="s">
        <v>1807</v>
      </c>
      <c r="T33" s="62">
        <v>6.5023629365440858E-2</v>
      </c>
      <c r="U33" s="62" t="s">
        <v>1908</v>
      </c>
      <c r="V33" s="62" t="s">
        <v>1907</v>
      </c>
      <c r="W33" s="10" t="s">
        <v>1808</v>
      </c>
    </row>
    <row r="34" spans="2:23" ht="21.75" customHeight="1" x14ac:dyDescent="0.25">
      <c r="B34" s="16" t="s">
        <v>1344</v>
      </c>
      <c r="C34" s="17">
        <v>600</v>
      </c>
      <c r="D34" s="62">
        <v>63.526118613688375</v>
      </c>
      <c r="E34" s="62" t="s">
        <v>1808</v>
      </c>
      <c r="F34" s="62">
        <v>37.139207181547974</v>
      </c>
      <c r="G34" s="62" t="s">
        <v>1808</v>
      </c>
      <c r="H34" s="62">
        <v>28.649990133695489</v>
      </c>
      <c r="I34" s="62" t="s">
        <v>1807</v>
      </c>
      <c r="J34" s="62">
        <v>74.153610061124184</v>
      </c>
      <c r="K34" s="62" t="s">
        <v>1807</v>
      </c>
      <c r="L34" s="62">
        <v>1.6031696578714589</v>
      </c>
      <c r="M34" s="62" t="s">
        <v>1808</v>
      </c>
      <c r="N34" s="62">
        <v>3.3463238060504046E-2</v>
      </c>
      <c r="O34" s="62" t="s">
        <v>1908</v>
      </c>
      <c r="P34" s="62">
        <v>6.1518694228474287</v>
      </c>
      <c r="Q34" s="62" t="s">
        <v>1908</v>
      </c>
      <c r="R34" s="62">
        <v>1.2526643495852687</v>
      </c>
      <c r="S34" s="62" t="s">
        <v>1807</v>
      </c>
      <c r="T34" s="62">
        <v>4.5748343250456763E-2</v>
      </c>
      <c r="U34" s="62" t="s">
        <v>1908</v>
      </c>
      <c r="V34" s="62">
        <v>18.607740808762276</v>
      </c>
      <c r="W34" s="10" t="s">
        <v>1807</v>
      </c>
    </row>
    <row r="35" spans="2:23" ht="21.75" customHeight="1" x14ac:dyDescent="0.25">
      <c r="B35" s="16" t="s">
        <v>1344</v>
      </c>
      <c r="C35" s="18">
        <v>700</v>
      </c>
      <c r="D35" s="62">
        <v>169.24232767940265</v>
      </c>
      <c r="E35" s="62" t="s">
        <v>1808</v>
      </c>
      <c r="F35" s="62">
        <v>113.07832006541958</v>
      </c>
      <c r="G35" s="62" t="s">
        <v>1808</v>
      </c>
      <c r="H35" s="62">
        <v>16.037119455555846</v>
      </c>
      <c r="I35" s="62" t="s">
        <v>1908</v>
      </c>
      <c r="J35" s="62">
        <v>73.697224120767629</v>
      </c>
      <c r="K35" s="62" t="s">
        <v>1807</v>
      </c>
      <c r="L35" s="62">
        <v>1.9807249683597195</v>
      </c>
      <c r="M35" s="62" t="s">
        <v>1808</v>
      </c>
      <c r="N35" s="62">
        <v>4.1163501803489565E-2</v>
      </c>
      <c r="O35" s="62" t="s">
        <v>1908</v>
      </c>
      <c r="P35" s="62">
        <v>11.925956999930563</v>
      </c>
      <c r="Q35" s="62" t="s">
        <v>1908</v>
      </c>
      <c r="R35" s="62">
        <v>1.2535267586980379</v>
      </c>
      <c r="S35" s="62" t="s">
        <v>1807</v>
      </c>
      <c r="T35" s="62">
        <v>0.1570436107272539</v>
      </c>
      <c r="U35" s="62" t="s">
        <v>1908</v>
      </c>
      <c r="V35" s="62">
        <v>11.543187151432376</v>
      </c>
      <c r="W35" s="10" t="s">
        <v>1908</v>
      </c>
    </row>
    <row r="36" spans="2:23" ht="21.75" customHeight="1" x14ac:dyDescent="0.25">
      <c r="B36" s="16" t="s">
        <v>1344</v>
      </c>
      <c r="C36" s="17">
        <v>800</v>
      </c>
      <c r="D36" s="62">
        <v>317.14891719253109</v>
      </c>
      <c r="E36" s="62" t="s">
        <v>1808</v>
      </c>
      <c r="F36" s="62">
        <v>427.46568219660742</v>
      </c>
      <c r="G36" s="62" t="s">
        <v>1808</v>
      </c>
      <c r="H36" s="62">
        <v>7.5385787002351128</v>
      </c>
      <c r="I36" s="62" t="s">
        <v>1908</v>
      </c>
      <c r="J36" s="62">
        <v>131.47657691986603</v>
      </c>
      <c r="K36" s="62" t="s">
        <v>1807</v>
      </c>
      <c r="L36" s="62">
        <v>2.1253905729791596</v>
      </c>
      <c r="M36" s="62" t="s">
        <v>1808</v>
      </c>
      <c r="N36" s="62">
        <v>0.28385074090977508</v>
      </c>
      <c r="O36" s="62" t="s">
        <v>1807</v>
      </c>
      <c r="P36" s="62">
        <v>16.452195882399288</v>
      </c>
      <c r="Q36" s="62" t="s">
        <v>1908</v>
      </c>
      <c r="R36" s="62">
        <v>1.6950787493555546</v>
      </c>
      <c r="S36" s="62" t="s">
        <v>1807</v>
      </c>
      <c r="T36" s="62">
        <v>6.3112963692937826E-2</v>
      </c>
      <c r="U36" s="62" t="s">
        <v>1908</v>
      </c>
      <c r="V36" s="62">
        <v>4.8794529531170845</v>
      </c>
      <c r="W36" s="10" t="s">
        <v>1908</v>
      </c>
    </row>
    <row r="37" spans="2:23" ht="21.75" customHeight="1" x14ac:dyDescent="0.25">
      <c r="B37" s="16" t="s">
        <v>1344</v>
      </c>
      <c r="C37" s="18">
        <v>900</v>
      </c>
      <c r="D37" s="62">
        <v>214.77623480878393</v>
      </c>
      <c r="E37" s="62" t="s">
        <v>1808</v>
      </c>
      <c r="F37" s="62">
        <v>285.24617388211084</v>
      </c>
      <c r="G37" s="62" t="s">
        <v>1808</v>
      </c>
      <c r="H37" s="62">
        <v>4.7366889301182393</v>
      </c>
      <c r="I37" s="62" t="s">
        <v>1908</v>
      </c>
      <c r="J37" s="62">
        <v>61.291055203879374</v>
      </c>
      <c r="K37" s="62" t="s">
        <v>1908</v>
      </c>
      <c r="L37" s="62">
        <v>2.0925686635099869</v>
      </c>
      <c r="M37" s="62" t="s">
        <v>1808</v>
      </c>
      <c r="N37" s="62" t="s">
        <v>1907</v>
      </c>
      <c r="O37" s="62" t="s">
        <v>1808</v>
      </c>
      <c r="P37" s="62">
        <v>1.8316164805919779</v>
      </c>
      <c r="Q37" s="62" t="s">
        <v>1908</v>
      </c>
      <c r="R37" s="62">
        <v>1.5463252898476203</v>
      </c>
      <c r="S37" s="62" t="s">
        <v>1807</v>
      </c>
      <c r="T37" s="62">
        <v>0.16015529082122945</v>
      </c>
      <c r="U37" s="62" t="s">
        <v>1908</v>
      </c>
      <c r="V37" s="62">
        <v>2.8656163473892713</v>
      </c>
      <c r="W37" s="10" t="s">
        <v>1908</v>
      </c>
    </row>
    <row r="38" spans="2:23" ht="21.75" customHeight="1" x14ac:dyDescent="0.25">
      <c r="B38" s="16" t="s">
        <v>1344</v>
      </c>
      <c r="C38" s="17">
        <v>1000</v>
      </c>
      <c r="D38" s="62">
        <v>713.91335389914821</v>
      </c>
      <c r="E38" s="62" t="s">
        <v>1808</v>
      </c>
      <c r="F38" s="62">
        <v>996.87301195152145</v>
      </c>
      <c r="G38" s="62" t="s">
        <v>1808</v>
      </c>
      <c r="H38" s="62">
        <v>28.116838977170623</v>
      </c>
      <c r="I38" s="62" t="s">
        <v>1807</v>
      </c>
      <c r="J38" s="62">
        <v>154.00141419220054</v>
      </c>
      <c r="K38" s="62" t="s">
        <v>1807</v>
      </c>
      <c r="L38" s="62">
        <v>2.95719347263026</v>
      </c>
      <c r="M38" s="62" t="s">
        <v>1808</v>
      </c>
      <c r="N38" s="62">
        <v>1.6040018091896622E-3</v>
      </c>
      <c r="O38" s="62" t="s">
        <v>1908</v>
      </c>
      <c r="P38" s="62">
        <v>3.5048989585808181</v>
      </c>
      <c r="Q38" s="62" t="s">
        <v>1908</v>
      </c>
      <c r="R38" s="62">
        <v>3.6947400020413612</v>
      </c>
      <c r="S38" s="62" t="s">
        <v>1808</v>
      </c>
      <c r="T38" s="62">
        <v>0.1229013191434995</v>
      </c>
      <c r="U38" s="62" t="s">
        <v>1908</v>
      </c>
      <c r="V38" s="62">
        <v>17.127874650890018</v>
      </c>
      <c r="W38" s="10" t="s">
        <v>1807</v>
      </c>
    </row>
    <row r="39" spans="2:23" ht="21.75" customHeight="1" x14ac:dyDescent="0.25">
      <c r="B39" s="16" t="s">
        <v>1344</v>
      </c>
      <c r="C39" s="18">
        <v>1100</v>
      </c>
      <c r="D39" s="62">
        <v>1429.37607886162</v>
      </c>
      <c r="E39" s="62" t="s">
        <v>1808</v>
      </c>
      <c r="F39" s="62">
        <v>2194.2190537675583</v>
      </c>
      <c r="G39" s="62" t="s">
        <v>1808</v>
      </c>
      <c r="H39" s="62">
        <v>8.0614021956882773</v>
      </c>
      <c r="I39" s="62" t="s">
        <v>1908</v>
      </c>
      <c r="J39" s="62">
        <v>185.9326783558796</v>
      </c>
      <c r="K39" s="62" t="s">
        <v>1807</v>
      </c>
      <c r="L39" s="62">
        <v>3.5472482502900164</v>
      </c>
      <c r="M39" s="62" t="s">
        <v>1808</v>
      </c>
      <c r="N39" s="62">
        <v>3.5067665522274416E-2</v>
      </c>
      <c r="O39" s="62" t="s">
        <v>1908</v>
      </c>
      <c r="P39" s="62">
        <v>14.95483775633361</v>
      </c>
      <c r="Q39" s="62" t="s">
        <v>1908</v>
      </c>
      <c r="R39" s="62">
        <v>3.7806411696416307</v>
      </c>
      <c r="S39" s="62" t="s">
        <v>1808</v>
      </c>
      <c r="T39" s="62">
        <v>5.7816867331812655E-2</v>
      </c>
      <c r="U39" s="62" t="s">
        <v>1908</v>
      </c>
      <c r="V39" s="62">
        <v>8.8113807077715265</v>
      </c>
      <c r="W39" s="10" t="s">
        <v>1908</v>
      </c>
    </row>
    <row r="40" spans="2:23" ht="21.75" customHeight="1" x14ac:dyDescent="0.25">
      <c r="B40" s="16" t="s">
        <v>1344</v>
      </c>
      <c r="C40" s="17">
        <v>1200</v>
      </c>
      <c r="D40" s="62">
        <v>3314.2777403516002</v>
      </c>
      <c r="E40" s="62" t="s">
        <v>1808</v>
      </c>
      <c r="F40" s="62">
        <v>8175.6535923060856</v>
      </c>
      <c r="G40" s="62" t="s">
        <v>1808</v>
      </c>
      <c r="H40" s="62">
        <v>6.5422571558576683</v>
      </c>
      <c r="I40" s="62" t="s">
        <v>1908</v>
      </c>
      <c r="J40" s="62">
        <v>363.62530785383603</v>
      </c>
      <c r="K40" s="62" t="s">
        <v>1808</v>
      </c>
      <c r="L40" s="62">
        <v>4.456535993353933</v>
      </c>
      <c r="M40" s="62" t="s">
        <v>1808</v>
      </c>
      <c r="N40" s="62">
        <v>1.7488207720004884E-2</v>
      </c>
      <c r="O40" s="62" t="s">
        <v>1908</v>
      </c>
      <c r="P40" s="62">
        <v>13.082684026884007</v>
      </c>
      <c r="Q40" s="62" t="s">
        <v>1908</v>
      </c>
      <c r="R40" s="62">
        <v>6.9735043120093039</v>
      </c>
      <c r="S40" s="62" t="s">
        <v>1808</v>
      </c>
      <c r="T40" s="62">
        <v>5.7104064767622781E-2</v>
      </c>
      <c r="U40" s="62" t="s">
        <v>1908</v>
      </c>
      <c r="V40" s="62">
        <v>9.9393157502915095</v>
      </c>
      <c r="W40" s="10" t="s">
        <v>1908</v>
      </c>
    </row>
    <row r="41" spans="2:23" ht="21.75" customHeight="1" x14ac:dyDescent="0.25">
      <c r="B41" s="16" t="s">
        <v>1344</v>
      </c>
      <c r="C41" s="18">
        <v>1300</v>
      </c>
      <c r="D41" s="62">
        <v>700.23333026101272</v>
      </c>
      <c r="E41" s="62" t="s">
        <v>1808</v>
      </c>
      <c r="F41" s="62">
        <v>4080.3998522962916</v>
      </c>
      <c r="G41" s="62" t="s">
        <v>1808</v>
      </c>
      <c r="H41" s="62">
        <v>10.020804490652981</v>
      </c>
      <c r="I41" s="62" t="s">
        <v>1908</v>
      </c>
      <c r="J41" s="62">
        <v>271.36479452274591</v>
      </c>
      <c r="K41" s="62" t="s">
        <v>1808</v>
      </c>
      <c r="L41" s="62">
        <v>3.9621093229952122</v>
      </c>
      <c r="M41" s="62" t="s">
        <v>1808</v>
      </c>
      <c r="N41" s="62">
        <v>2.2345424135557873E-2</v>
      </c>
      <c r="O41" s="62" t="s">
        <v>1908</v>
      </c>
      <c r="P41" s="62">
        <v>8.2887816036685109</v>
      </c>
      <c r="Q41" s="62" t="s">
        <v>1908</v>
      </c>
      <c r="R41" s="62">
        <v>3.6509806028052401</v>
      </c>
      <c r="S41" s="62" t="s">
        <v>1808</v>
      </c>
      <c r="T41" s="62">
        <v>0.11136038458383138</v>
      </c>
      <c r="U41" s="62" t="s">
        <v>1908</v>
      </c>
      <c r="V41" s="62">
        <v>9.6070683512304882</v>
      </c>
      <c r="W41" s="10" t="s">
        <v>1807</v>
      </c>
    </row>
    <row r="42" spans="2:23" ht="21.75" customHeight="1" x14ac:dyDescent="0.25">
      <c r="B42" s="16" t="s">
        <v>1345</v>
      </c>
      <c r="C42" s="17">
        <v>100</v>
      </c>
      <c r="D42" s="62">
        <v>18.874373334387084</v>
      </c>
      <c r="E42" s="62" t="s">
        <v>1807</v>
      </c>
      <c r="F42" s="62">
        <v>161.58421105385668</v>
      </c>
      <c r="G42" s="62" t="s">
        <v>1808</v>
      </c>
      <c r="H42" s="62" t="s">
        <v>1907</v>
      </c>
      <c r="I42" s="62" t="s">
        <v>1808</v>
      </c>
      <c r="J42" s="62" t="s">
        <v>1907</v>
      </c>
      <c r="K42" s="62" t="s">
        <v>1808</v>
      </c>
      <c r="L42" s="62">
        <v>5.5138355567838122</v>
      </c>
      <c r="M42" s="62" t="s">
        <v>1808</v>
      </c>
      <c r="N42" s="62" t="s">
        <v>1907</v>
      </c>
      <c r="O42" s="62" t="s">
        <v>1808</v>
      </c>
      <c r="P42" s="62" t="s">
        <v>1907</v>
      </c>
      <c r="Q42" s="62" t="s">
        <v>1808</v>
      </c>
      <c r="R42" s="62">
        <v>0.81720352451442468</v>
      </c>
      <c r="S42" s="62" t="s">
        <v>1908</v>
      </c>
      <c r="T42" s="62" t="s">
        <v>1907</v>
      </c>
      <c r="U42" s="62" t="s">
        <v>1808</v>
      </c>
      <c r="V42" s="62" t="s">
        <v>1907</v>
      </c>
      <c r="W42" s="10" t="s">
        <v>1808</v>
      </c>
    </row>
    <row r="43" spans="2:23" ht="21.75" customHeight="1" x14ac:dyDescent="0.25">
      <c r="B43" s="16" t="s">
        <v>1345</v>
      </c>
      <c r="C43" s="17">
        <v>200</v>
      </c>
      <c r="D43" s="62">
        <v>28.224026979790562</v>
      </c>
      <c r="E43" s="62" t="s">
        <v>1807</v>
      </c>
      <c r="F43" s="62">
        <v>192.77540932191107</v>
      </c>
      <c r="G43" s="62" t="s">
        <v>1808</v>
      </c>
      <c r="H43" s="62">
        <v>7.5053655618778237</v>
      </c>
      <c r="I43" s="62" t="s">
        <v>1908</v>
      </c>
      <c r="J43" s="62">
        <v>44.506609895016176</v>
      </c>
      <c r="K43" s="62" t="s">
        <v>1908</v>
      </c>
      <c r="L43" s="62">
        <v>4.6702582237382124</v>
      </c>
      <c r="M43" s="62" t="s">
        <v>1808</v>
      </c>
      <c r="N43" s="62">
        <v>2.6828033849367952E-2</v>
      </c>
      <c r="O43" s="62" t="s">
        <v>1908</v>
      </c>
      <c r="P43" s="62" t="s">
        <v>1907</v>
      </c>
      <c r="Q43" s="62" t="s">
        <v>1808</v>
      </c>
      <c r="R43" s="62">
        <v>1.2224346704108766</v>
      </c>
      <c r="S43" s="62" t="s">
        <v>1807</v>
      </c>
      <c r="T43" s="62">
        <v>2.4240327333858482E-3</v>
      </c>
      <c r="U43" s="62" t="s">
        <v>1908</v>
      </c>
      <c r="V43" s="62">
        <v>6.4141823981019854</v>
      </c>
      <c r="W43" s="10" t="s">
        <v>1908</v>
      </c>
    </row>
    <row r="44" spans="2:23" ht="21.75" customHeight="1" x14ac:dyDescent="0.25">
      <c r="B44" s="16" t="s">
        <v>1345</v>
      </c>
      <c r="C44" s="18">
        <v>300</v>
      </c>
      <c r="D44" s="62">
        <v>40.024680022171623</v>
      </c>
      <c r="E44" s="62" t="s">
        <v>1807</v>
      </c>
      <c r="F44" s="62">
        <v>292.57421385910897</v>
      </c>
      <c r="G44" s="62" t="s">
        <v>1808</v>
      </c>
      <c r="H44" s="62">
        <v>82.713691854822301</v>
      </c>
      <c r="I44" s="62" t="s">
        <v>1808</v>
      </c>
      <c r="J44" s="62">
        <v>53.479431520648347</v>
      </c>
      <c r="K44" s="62" t="s">
        <v>1908</v>
      </c>
      <c r="L44" s="62">
        <v>5.8651394368796135</v>
      </c>
      <c r="M44" s="62" t="s">
        <v>1808</v>
      </c>
      <c r="N44" s="62" t="s">
        <v>1907</v>
      </c>
      <c r="O44" s="62" t="s">
        <v>1808</v>
      </c>
      <c r="P44" s="62" t="s">
        <v>1907</v>
      </c>
      <c r="Q44" s="62" t="s">
        <v>1808</v>
      </c>
      <c r="R44" s="62">
        <v>1.9902483252787719</v>
      </c>
      <c r="S44" s="62" t="s">
        <v>1807</v>
      </c>
      <c r="T44" s="62" t="s">
        <v>1907</v>
      </c>
      <c r="U44" s="62" t="s">
        <v>1808</v>
      </c>
      <c r="V44" s="62">
        <v>19.556974325302441</v>
      </c>
      <c r="W44" s="10" t="s">
        <v>1807</v>
      </c>
    </row>
    <row r="45" spans="2:23" ht="21.75" customHeight="1" x14ac:dyDescent="0.25">
      <c r="B45" s="16" t="s">
        <v>1345</v>
      </c>
      <c r="C45" s="18">
        <v>400</v>
      </c>
      <c r="D45" s="62">
        <v>75.553172145940479</v>
      </c>
      <c r="E45" s="62" t="s">
        <v>1808</v>
      </c>
      <c r="F45" s="62">
        <v>413.78390640366024</v>
      </c>
      <c r="G45" s="62" t="s">
        <v>1808</v>
      </c>
      <c r="H45" s="62" t="s">
        <v>1907</v>
      </c>
      <c r="I45" s="62" t="s">
        <v>1808</v>
      </c>
      <c r="J45" s="62">
        <v>16.639403946053619</v>
      </c>
      <c r="K45" s="62" t="s">
        <v>1908</v>
      </c>
      <c r="L45" s="62">
        <v>5.7541774675123003</v>
      </c>
      <c r="M45" s="62" t="s">
        <v>1808</v>
      </c>
      <c r="N45" s="62" t="s">
        <v>1907</v>
      </c>
      <c r="O45" s="62" t="s">
        <v>1808</v>
      </c>
      <c r="P45" s="62" t="s">
        <v>1907</v>
      </c>
      <c r="Q45" s="62" t="s">
        <v>1808</v>
      </c>
      <c r="R45" s="62">
        <v>1.9558119252344484</v>
      </c>
      <c r="S45" s="62" t="s">
        <v>1807</v>
      </c>
      <c r="T45" s="62" t="s">
        <v>1907</v>
      </c>
      <c r="U45" s="62" t="s">
        <v>1808</v>
      </c>
      <c r="V45" s="62" t="s">
        <v>1907</v>
      </c>
      <c r="W45" s="10" t="s">
        <v>1808</v>
      </c>
    </row>
    <row r="46" spans="2:23" ht="21.75" customHeight="1" x14ac:dyDescent="0.25">
      <c r="B46" s="16" t="s">
        <v>1345</v>
      </c>
      <c r="C46" s="17">
        <v>500</v>
      </c>
      <c r="D46" s="62">
        <v>135.75781397784371</v>
      </c>
      <c r="E46" s="62" t="s">
        <v>1808</v>
      </c>
      <c r="F46" s="62">
        <v>693.55164573667332</v>
      </c>
      <c r="G46" s="62" t="s">
        <v>1808</v>
      </c>
      <c r="H46" s="62">
        <v>2.0676949179414739</v>
      </c>
      <c r="I46" s="62" t="s">
        <v>1908</v>
      </c>
      <c r="J46" s="62">
        <v>43.775941929215016</v>
      </c>
      <c r="K46" s="62" t="s">
        <v>1908</v>
      </c>
      <c r="L46" s="62">
        <v>6.3110844380775788</v>
      </c>
      <c r="M46" s="62" t="s">
        <v>1808</v>
      </c>
      <c r="N46" s="62">
        <v>6.3133256771044796E-2</v>
      </c>
      <c r="O46" s="62" t="s">
        <v>1908</v>
      </c>
      <c r="P46" s="62" t="s">
        <v>1907</v>
      </c>
      <c r="Q46" s="62" t="s">
        <v>1808</v>
      </c>
      <c r="R46" s="62">
        <v>3.2187397966401563</v>
      </c>
      <c r="S46" s="62" t="s">
        <v>1808</v>
      </c>
      <c r="T46" s="62" t="s">
        <v>1907</v>
      </c>
      <c r="U46" s="62" t="s">
        <v>1808</v>
      </c>
      <c r="V46" s="62" t="s">
        <v>1907</v>
      </c>
      <c r="W46" s="10" t="s">
        <v>1808</v>
      </c>
    </row>
    <row r="47" spans="2:23" ht="21.75" customHeight="1" x14ac:dyDescent="0.25">
      <c r="B47" s="16" t="s">
        <v>1346</v>
      </c>
      <c r="C47" s="18">
        <v>100</v>
      </c>
      <c r="D47" s="62">
        <v>50.432747964687273</v>
      </c>
      <c r="E47" s="62" t="s">
        <v>1807</v>
      </c>
      <c r="F47" s="62">
        <v>311.31744269283257</v>
      </c>
      <c r="G47" s="62" t="s">
        <v>1808</v>
      </c>
      <c r="H47" s="62">
        <v>3.2456330833216689</v>
      </c>
      <c r="I47" s="62" t="s">
        <v>1908</v>
      </c>
      <c r="J47" s="62">
        <v>43.555503529738672</v>
      </c>
      <c r="K47" s="62" t="s">
        <v>1908</v>
      </c>
      <c r="L47" s="62">
        <v>6.9366159852652691</v>
      </c>
      <c r="M47" s="62" t="s">
        <v>1808</v>
      </c>
      <c r="N47" s="62" t="s">
        <v>1907</v>
      </c>
      <c r="O47" s="62" t="s">
        <v>1808</v>
      </c>
      <c r="P47" s="62" t="s">
        <v>1907</v>
      </c>
      <c r="Q47" s="62" t="s">
        <v>1808</v>
      </c>
      <c r="R47" s="62">
        <v>2.0120559911015143</v>
      </c>
      <c r="S47" s="62" t="s">
        <v>1807</v>
      </c>
      <c r="T47" s="62">
        <v>3.235393094577111E-2</v>
      </c>
      <c r="U47" s="62" t="s">
        <v>1908</v>
      </c>
      <c r="V47" s="62">
        <v>4.4952082335236563</v>
      </c>
      <c r="W47" s="10" t="s">
        <v>1908</v>
      </c>
    </row>
    <row r="48" spans="2:23" ht="21.75" customHeight="1" x14ac:dyDescent="0.25">
      <c r="B48" s="16" t="s">
        <v>1346</v>
      </c>
      <c r="C48" s="17">
        <v>200</v>
      </c>
      <c r="D48" s="62">
        <v>74.357080111252799</v>
      </c>
      <c r="E48" s="62" t="s">
        <v>1808</v>
      </c>
      <c r="F48" s="62">
        <v>516.82037332194784</v>
      </c>
      <c r="G48" s="62" t="s">
        <v>1808</v>
      </c>
      <c r="H48" s="62">
        <v>21.425830708608142</v>
      </c>
      <c r="I48" s="62" t="s">
        <v>1807</v>
      </c>
      <c r="J48" s="62">
        <v>122.91643865022688</v>
      </c>
      <c r="K48" s="62" t="s">
        <v>1807</v>
      </c>
      <c r="L48" s="62">
        <v>8.0855803679850826</v>
      </c>
      <c r="M48" s="62" t="s">
        <v>1808</v>
      </c>
      <c r="N48" s="62">
        <v>2.05225162922591E-2</v>
      </c>
      <c r="O48" s="62" t="s">
        <v>1908</v>
      </c>
      <c r="P48" s="62">
        <v>42.108175875898887</v>
      </c>
      <c r="Q48" s="62" t="s">
        <v>1908</v>
      </c>
      <c r="R48" s="62">
        <v>3.455506081576269</v>
      </c>
      <c r="S48" s="62" t="s">
        <v>1807</v>
      </c>
      <c r="T48" s="62">
        <v>0.1738648707056063</v>
      </c>
      <c r="U48" s="62" t="s">
        <v>1908</v>
      </c>
      <c r="V48" s="62">
        <v>10.766732592186173</v>
      </c>
      <c r="W48" s="10" t="s">
        <v>1908</v>
      </c>
    </row>
    <row r="49" spans="2:23" ht="21.75" customHeight="1" x14ac:dyDescent="0.25">
      <c r="B49" s="16" t="s">
        <v>1346</v>
      </c>
      <c r="C49" s="18">
        <v>300</v>
      </c>
      <c r="D49" s="62">
        <v>53.930863905755309</v>
      </c>
      <c r="E49" s="62" t="s">
        <v>1807</v>
      </c>
      <c r="F49" s="62">
        <v>424.9270023123442</v>
      </c>
      <c r="G49" s="62" t="s">
        <v>1808</v>
      </c>
      <c r="H49" s="62">
        <v>18.738607363125031</v>
      </c>
      <c r="I49" s="62" t="s">
        <v>1908</v>
      </c>
      <c r="J49" s="62">
        <v>52.894146741185423</v>
      </c>
      <c r="K49" s="62" t="s">
        <v>1908</v>
      </c>
      <c r="L49" s="62">
        <v>6.3439646052468799</v>
      </c>
      <c r="M49" s="62" t="s">
        <v>1808</v>
      </c>
      <c r="N49" s="62">
        <v>0.10300568790814219</v>
      </c>
      <c r="O49" s="62" t="s">
        <v>1908</v>
      </c>
      <c r="P49" s="62">
        <v>10.081995588412793</v>
      </c>
      <c r="Q49" s="62" t="s">
        <v>1908</v>
      </c>
      <c r="R49" s="62">
        <v>2.8176705320310806</v>
      </c>
      <c r="S49" s="62" t="s">
        <v>1807</v>
      </c>
      <c r="T49" s="62">
        <v>1.5332202093637512E-2</v>
      </c>
      <c r="U49" s="62" t="s">
        <v>1908</v>
      </c>
      <c r="V49" s="62">
        <v>2.9642573249872948</v>
      </c>
      <c r="W49" s="10" t="s">
        <v>1908</v>
      </c>
    </row>
    <row r="50" spans="2:23" ht="21.75" customHeight="1" x14ac:dyDescent="0.25">
      <c r="B50" s="16" t="s">
        <v>1346</v>
      </c>
      <c r="C50" s="18">
        <v>400</v>
      </c>
      <c r="D50" s="62">
        <v>69.181854697834936</v>
      </c>
      <c r="E50" s="62" t="s">
        <v>1807</v>
      </c>
      <c r="F50" s="62">
        <v>532.4344272895936</v>
      </c>
      <c r="G50" s="62" t="s">
        <v>1808</v>
      </c>
      <c r="H50" s="62">
        <v>19.42077868766285</v>
      </c>
      <c r="I50" s="62" t="s">
        <v>1908</v>
      </c>
      <c r="J50" s="62">
        <v>107.49978398656117</v>
      </c>
      <c r="K50" s="62" t="s">
        <v>1807</v>
      </c>
      <c r="L50" s="62">
        <v>8.3332006492921025</v>
      </c>
      <c r="M50" s="62" t="s">
        <v>1808</v>
      </c>
      <c r="N50" s="62">
        <v>1.5022584400745779E-2</v>
      </c>
      <c r="O50" s="62" t="s">
        <v>1908</v>
      </c>
      <c r="P50" s="62" t="s">
        <v>1907</v>
      </c>
      <c r="Q50" s="62" t="s">
        <v>1808</v>
      </c>
      <c r="R50" s="62">
        <v>3.438680831713365</v>
      </c>
      <c r="S50" s="62" t="s">
        <v>1807</v>
      </c>
      <c r="T50" s="62">
        <v>0.10945703048357246</v>
      </c>
      <c r="U50" s="62" t="s">
        <v>1908</v>
      </c>
      <c r="V50" s="62">
        <v>9.0474390747878886</v>
      </c>
      <c r="W50" s="10" t="s">
        <v>1908</v>
      </c>
    </row>
    <row r="51" spans="2:23" ht="21.75" customHeight="1" x14ac:dyDescent="0.25">
      <c r="B51" s="16" t="s">
        <v>1346</v>
      </c>
      <c r="C51" s="17">
        <v>500</v>
      </c>
      <c r="D51" s="62">
        <v>93.058973386704253</v>
      </c>
      <c r="E51" s="62" t="s">
        <v>1808</v>
      </c>
      <c r="F51" s="62">
        <v>594.15121209789618</v>
      </c>
      <c r="G51" s="62" t="s">
        <v>1808</v>
      </c>
      <c r="H51" s="62">
        <v>38.777616457064298</v>
      </c>
      <c r="I51" s="62" t="s">
        <v>1807</v>
      </c>
      <c r="J51" s="62">
        <v>93.94552514064371</v>
      </c>
      <c r="K51" s="62" t="s">
        <v>1807</v>
      </c>
      <c r="L51" s="62">
        <v>6.935659222933066</v>
      </c>
      <c r="M51" s="62" t="s">
        <v>1808</v>
      </c>
      <c r="N51" s="62">
        <v>5.6912879034704107E-2</v>
      </c>
      <c r="O51" s="62" t="s">
        <v>1908</v>
      </c>
      <c r="P51" s="62">
        <v>30.935034440772942</v>
      </c>
      <c r="Q51" s="62" t="s">
        <v>1908</v>
      </c>
      <c r="R51" s="62">
        <v>3.481616297063634</v>
      </c>
      <c r="S51" s="62" t="s">
        <v>1807</v>
      </c>
      <c r="T51" s="62">
        <v>1.418075436584507E-2</v>
      </c>
      <c r="U51" s="62" t="s">
        <v>1908</v>
      </c>
      <c r="V51" s="62">
        <v>13.248126525825853</v>
      </c>
      <c r="W51" s="10" t="s">
        <v>1908</v>
      </c>
    </row>
    <row r="52" spans="2:23" ht="21.75" customHeight="1" x14ac:dyDescent="0.25">
      <c r="B52" s="16" t="s">
        <v>1021</v>
      </c>
      <c r="C52" s="18">
        <v>100</v>
      </c>
      <c r="D52" s="62">
        <v>135.68219980575114</v>
      </c>
      <c r="E52" s="62" t="s">
        <v>1808</v>
      </c>
      <c r="F52" s="62">
        <v>622.36282266914839</v>
      </c>
      <c r="G52" s="62" t="s">
        <v>1808</v>
      </c>
      <c r="H52" s="62">
        <v>19.326002151975594</v>
      </c>
      <c r="I52" s="62" t="s">
        <v>1908</v>
      </c>
      <c r="J52" s="62">
        <v>73.383012452237722</v>
      </c>
      <c r="K52" s="62" t="s">
        <v>1908</v>
      </c>
      <c r="L52" s="62">
        <v>0.84750672410382388</v>
      </c>
      <c r="M52" s="62" t="s">
        <v>1807</v>
      </c>
      <c r="N52" s="62" t="s">
        <v>1907</v>
      </c>
      <c r="O52" s="62" t="s">
        <v>1808</v>
      </c>
      <c r="P52" s="62">
        <v>2.5456696004610464</v>
      </c>
      <c r="Q52" s="62" t="s">
        <v>1908</v>
      </c>
      <c r="R52" s="62">
        <v>82.70925222080858</v>
      </c>
      <c r="S52" s="62" t="s">
        <v>1808</v>
      </c>
      <c r="T52" s="62">
        <v>7.4877743993363383E-3</v>
      </c>
      <c r="U52" s="62" t="s">
        <v>1908</v>
      </c>
      <c r="V52" s="62">
        <v>12.687487120081691</v>
      </c>
      <c r="W52" s="10" t="s">
        <v>1908</v>
      </c>
    </row>
    <row r="53" spans="2:23" ht="21.75" customHeight="1" x14ac:dyDescent="0.25">
      <c r="B53" s="16" t="s">
        <v>1021</v>
      </c>
      <c r="C53" s="17">
        <v>200</v>
      </c>
      <c r="D53" s="62">
        <v>302.19026830776988</v>
      </c>
      <c r="E53" s="62" t="s">
        <v>1808</v>
      </c>
      <c r="F53" s="62">
        <v>1369.2027134566213</v>
      </c>
      <c r="G53" s="62" t="s">
        <v>1808</v>
      </c>
      <c r="H53" s="62">
        <v>15.593109878945336</v>
      </c>
      <c r="I53" s="62" t="s">
        <v>1908</v>
      </c>
      <c r="J53" s="62">
        <v>61.120719504217625</v>
      </c>
      <c r="K53" s="62" t="s">
        <v>1908</v>
      </c>
      <c r="L53" s="62">
        <v>0.72733775088856123</v>
      </c>
      <c r="M53" s="62" t="s">
        <v>1807</v>
      </c>
      <c r="N53" s="62" t="s">
        <v>1907</v>
      </c>
      <c r="O53" s="62" t="s">
        <v>1808</v>
      </c>
      <c r="P53" s="62">
        <v>2.5388807703609446</v>
      </c>
      <c r="Q53" s="62" t="s">
        <v>1908</v>
      </c>
      <c r="R53" s="62">
        <v>106.26289004121847</v>
      </c>
      <c r="S53" s="62" t="s">
        <v>1808</v>
      </c>
      <c r="T53" s="62" t="s">
        <v>1907</v>
      </c>
      <c r="U53" s="62" t="s">
        <v>1808</v>
      </c>
      <c r="V53" s="62">
        <v>5.7605730967960094</v>
      </c>
      <c r="W53" s="10" t="s">
        <v>1908</v>
      </c>
    </row>
    <row r="54" spans="2:23" ht="21.75" customHeight="1" x14ac:dyDescent="0.25">
      <c r="B54" s="16" t="s">
        <v>1021</v>
      </c>
      <c r="C54" s="18">
        <v>300</v>
      </c>
      <c r="D54" s="62">
        <v>203.19160006702032</v>
      </c>
      <c r="E54" s="62" t="s">
        <v>1808</v>
      </c>
      <c r="F54" s="62">
        <v>999.34810741947956</v>
      </c>
      <c r="G54" s="62" t="s">
        <v>1808</v>
      </c>
      <c r="H54" s="62">
        <v>6.9156108320023906</v>
      </c>
      <c r="I54" s="62" t="s">
        <v>1908</v>
      </c>
      <c r="J54" s="62">
        <v>60.320749049338062</v>
      </c>
      <c r="K54" s="62" t="s">
        <v>1908</v>
      </c>
      <c r="L54" s="62">
        <v>0.72665275245167715</v>
      </c>
      <c r="M54" s="62" t="s">
        <v>1807</v>
      </c>
      <c r="N54" s="62" t="s">
        <v>1907</v>
      </c>
      <c r="O54" s="62" t="s">
        <v>1808</v>
      </c>
      <c r="P54" s="62">
        <v>4.1112762234664366</v>
      </c>
      <c r="Q54" s="62" t="s">
        <v>1908</v>
      </c>
      <c r="R54" s="62">
        <v>101.21892312082568</v>
      </c>
      <c r="S54" s="62" t="s">
        <v>1808</v>
      </c>
      <c r="T54" s="62">
        <v>1.7643828174728454E-2</v>
      </c>
      <c r="U54" s="62" t="s">
        <v>1908</v>
      </c>
      <c r="V54" s="62">
        <v>15.336026203452709</v>
      </c>
      <c r="W54" s="10" t="s">
        <v>1908</v>
      </c>
    </row>
    <row r="55" spans="2:23" ht="21.75" customHeight="1" x14ac:dyDescent="0.25">
      <c r="B55" s="16" t="s">
        <v>1021</v>
      </c>
      <c r="C55" s="18">
        <v>400</v>
      </c>
      <c r="D55" s="62">
        <v>73.508648808746088</v>
      </c>
      <c r="E55" s="62" t="s">
        <v>1808</v>
      </c>
      <c r="F55" s="62">
        <v>499.86064887804685</v>
      </c>
      <c r="G55" s="62" t="s">
        <v>1808</v>
      </c>
      <c r="H55" s="62">
        <v>4.165880435723432</v>
      </c>
      <c r="I55" s="62" t="s">
        <v>1908</v>
      </c>
      <c r="J55" s="62">
        <v>131.95863581399422</v>
      </c>
      <c r="K55" s="62" t="s">
        <v>1807</v>
      </c>
      <c r="L55" s="62">
        <v>0.52882098098584895</v>
      </c>
      <c r="M55" s="62" t="s">
        <v>1807</v>
      </c>
      <c r="N55" s="62">
        <v>4.6016462301684623E-2</v>
      </c>
      <c r="O55" s="62" t="s">
        <v>1908</v>
      </c>
      <c r="P55" s="62" t="s">
        <v>1907</v>
      </c>
      <c r="Q55" s="62" t="s">
        <v>1808</v>
      </c>
      <c r="R55" s="62">
        <v>115.53009579018993</v>
      </c>
      <c r="S55" s="62" t="s">
        <v>1808</v>
      </c>
      <c r="T55" s="62">
        <v>1.3411240728660847E-2</v>
      </c>
      <c r="U55" s="62" t="s">
        <v>1908</v>
      </c>
      <c r="V55" s="62" t="s">
        <v>1907</v>
      </c>
      <c r="W55" s="10" t="s">
        <v>1808</v>
      </c>
    </row>
    <row r="56" spans="2:23" ht="21.75" customHeight="1" x14ac:dyDescent="0.25">
      <c r="B56" s="16" t="s">
        <v>1021</v>
      </c>
      <c r="C56" s="17">
        <v>500</v>
      </c>
      <c r="D56" s="62">
        <v>83.817565027863751</v>
      </c>
      <c r="E56" s="62" t="s">
        <v>1808</v>
      </c>
      <c r="F56" s="62">
        <v>683.66288212176642</v>
      </c>
      <c r="G56" s="62" t="s">
        <v>1808</v>
      </c>
      <c r="H56" s="62">
        <v>18.38504994166761</v>
      </c>
      <c r="I56" s="62" t="s">
        <v>1807</v>
      </c>
      <c r="J56" s="62">
        <v>334.14321036895348</v>
      </c>
      <c r="K56" s="62" t="s">
        <v>1808</v>
      </c>
      <c r="L56" s="62">
        <v>0.57420079567567173</v>
      </c>
      <c r="M56" s="62" t="s">
        <v>1807</v>
      </c>
      <c r="N56" s="62">
        <v>7.0767404431490337E-3</v>
      </c>
      <c r="O56" s="62" t="s">
        <v>1908</v>
      </c>
      <c r="P56" s="62">
        <v>1.1722676012129662</v>
      </c>
      <c r="Q56" s="62" t="s">
        <v>1908</v>
      </c>
      <c r="R56" s="62">
        <v>177.94663173568964</v>
      </c>
      <c r="S56" s="62" t="s">
        <v>1808</v>
      </c>
      <c r="T56" s="62">
        <v>3.3400375391136716E-2</v>
      </c>
      <c r="U56" s="62" t="s">
        <v>1908</v>
      </c>
      <c r="V56" s="62" t="s">
        <v>1907</v>
      </c>
      <c r="W56" s="10" t="s">
        <v>1808</v>
      </c>
    </row>
    <row r="57" spans="2:23" ht="21.75" customHeight="1" x14ac:dyDescent="0.25">
      <c r="B57" s="16" t="s">
        <v>1022</v>
      </c>
      <c r="C57" s="18">
        <v>100</v>
      </c>
      <c r="D57" s="62">
        <v>87.326273333303504</v>
      </c>
      <c r="E57" s="62" t="s">
        <v>1808</v>
      </c>
      <c r="F57" s="62">
        <v>325.86458039175756</v>
      </c>
      <c r="G57" s="62" t="s">
        <v>1808</v>
      </c>
      <c r="H57" s="62">
        <v>16.755201722665081</v>
      </c>
      <c r="I57" s="62" t="s">
        <v>1908</v>
      </c>
      <c r="J57" s="62">
        <v>104.38121315601852</v>
      </c>
      <c r="K57" s="62" t="s">
        <v>1807</v>
      </c>
      <c r="L57" s="62">
        <v>1.1620434680554508</v>
      </c>
      <c r="M57" s="62" t="s">
        <v>1807</v>
      </c>
      <c r="N57" s="62">
        <v>6.7581567567276263E-2</v>
      </c>
      <c r="O57" s="62" t="s">
        <v>1908</v>
      </c>
      <c r="P57" s="62">
        <v>67.436436196232989</v>
      </c>
      <c r="Q57" s="62" t="s">
        <v>1807</v>
      </c>
      <c r="R57" s="62">
        <v>0.74856944309999618</v>
      </c>
      <c r="S57" s="62" t="s">
        <v>1908</v>
      </c>
      <c r="T57" s="62">
        <v>9.0604222998185394E-2</v>
      </c>
      <c r="U57" s="62" t="s">
        <v>1908</v>
      </c>
      <c r="V57" s="62">
        <v>4.7453647151224816</v>
      </c>
      <c r="W57" s="10" t="s">
        <v>1908</v>
      </c>
    </row>
    <row r="58" spans="2:23" ht="21.75" customHeight="1" x14ac:dyDescent="0.25">
      <c r="B58" s="16" t="s">
        <v>1022</v>
      </c>
      <c r="C58" s="17">
        <v>200</v>
      </c>
      <c r="D58" s="62">
        <v>84.518927258373651</v>
      </c>
      <c r="E58" s="62" t="s">
        <v>1808</v>
      </c>
      <c r="F58" s="62">
        <v>388.10555570750648</v>
      </c>
      <c r="G58" s="62" t="s">
        <v>1808</v>
      </c>
      <c r="H58" s="62">
        <v>18.400704414784126</v>
      </c>
      <c r="I58" s="62" t="s">
        <v>1908</v>
      </c>
      <c r="J58" s="62">
        <v>159.34019541209446</v>
      </c>
      <c r="K58" s="62" t="s">
        <v>1807</v>
      </c>
      <c r="L58" s="62">
        <v>1.3194541322505871</v>
      </c>
      <c r="M58" s="62" t="s">
        <v>1808</v>
      </c>
      <c r="N58" s="62" t="s">
        <v>1907</v>
      </c>
      <c r="O58" s="62" t="s">
        <v>1808</v>
      </c>
      <c r="P58" s="62">
        <v>5.1749678695333001</v>
      </c>
      <c r="Q58" s="62" t="s">
        <v>1908</v>
      </c>
      <c r="R58" s="62">
        <v>0.66689224243955347</v>
      </c>
      <c r="S58" s="62" t="s">
        <v>1908</v>
      </c>
      <c r="T58" s="62">
        <v>0.12693098845557638</v>
      </c>
      <c r="U58" s="62" t="s">
        <v>1908</v>
      </c>
      <c r="V58" s="62">
        <v>4.6346172063058511</v>
      </c>
      <c r="W58" s="10" t="s">
        <v>1908</v>
      </c>
    </row>
    <row r="59" spans="2:23" ht="21.75" customHeight="1" x14ac:dyDescent="0.25">
      <c r="B59" s="16" t="s">
        <v>1022</v>
      </c>
      <c r="C59" s="18">
        <v>300</v>
      </c>
      <c r="D59" s="62">
        <v>176.93273861004295</v>
      </c>
      <c r="E59" s="62" t="s">
        <v>1808</v>
      </c>
      <c r="F59" s="62">
        <v>800.10519080208201</v>
      </c>
      <c r="G59" s="62" t="s">
        <v>1808</v>
      </c>
      <c r="H59" s="62">
        <v>22.695692399238414</v>
      </c>
      <c r="I59" s="62" t="s">
        <v>1807</v>
      </c>
      <c r="J59" s="62">
        <v>73.216403083237751</v>
      </c>
      <c r="K59" s="62" t="s">
        <v>1908</v>
      </c>
      <c r="L59" s="62">
        <v>1.3886696693408414</v>
      </c>
      <c r="M59" s="62" t="s">
        <v>1808</v>
      </c>
      <c r="N59" s="62">
        <v>9.1768325893263301E-3</v>
      </c>
      <c r="O59" s="62" t="s">
        <v>1908</v>
      </c>
      <c r="P59" s="62">
        <v>6.858283156778219</v>
      </c>
      <c r="Q59" s="62" t="s">
        <v>1908</v>
      </c>
      <c r="R59" s="62">
        <v>0.98673759046501941</v>
      </c>
      <c r="S59" s="62" t="s">
        <v>1908</v>
      </c>
      <c r="T59" s="62">
        <v>7.8968096431338411E-2</v>
      </c>
      <c r="U59" s="62" t="s">
        <v>1908</v>
      </c>
      <c r="V59" s="62">
        <v>6.2233944314065486</v>
      </c>
      <c r="W59" s="10" t="s">
        <v>1908</v>
      </c>
    </row>
    <row r="60" spans="2:23" ht="21.75" customHeight="1" x14ac:dyDescent="0.25">
      <c r="B60" s="16" t="s">
        <v>1022</v>
      </c>
      <c r="C60" s="18">
        <v>400</v>
      </c>
      <c r="D60" s="62">
        <v>147.21512647960859</v>
      </c>
      <c r="E60" s="62" t="s">
        <v>1808</v>
      </c>
      <c r="F60" s="62">
        <v>700.36186358216219</v>
      </c>
      <c r="G60" s="62" t="s">
        <v>1808</v>
      </c>
      <c r="H60" s="62">
        <v>30.547637907332998</v>
      </c>
      <c r="I60" s="62" t="s">
        <v>1807</v>
      </c>
      <c r="J60" s="62">
        <v>106.57481499699202</v>
      </c>
      <c r="K60" s="62" t="s">
        <v>1807</v>
      </c>
      <c r="L60" s="62">
        <v>1.4996685319787697</v>
      </c>
      <c r="M60" s="62" t="s">
        <v>1808</v>
      </c>
      <c r="N60" s="62">
        <v>3.0334877032594361E-2</v>
      </c>
      <c r="O60" s="62" t="s">
        <v>1908</v>
      </c>
      <c r="P60" s="62">
        <v>15.792703617982978</v>
      </c>
      <c r="Q60" s="62" t="s">
        <v>1908</v>
      </c>
      <c r="R60" s="62">
        <v>1.0706146068231388</v>
      </c>
      <c r="S60" s="62" t="s">
        <v>1908</v>
      </c>
      <c r="T60" s="62">
        <v>7.0841203401917921E-2</v>
      </c>
      <c r="U60" s="62" t="s">
        <v>1908</v>
      </c>
      <c r="V60" s="62">
        <v>13.668838693629887</v>
      </c>
      <c r="W60" s="10" t="s">
        <v>1908</v>
      </c>
    </row>
    <row r="61" spans="2:23" ht="21.75" customHeight="1" x14ac:dyDescent="0.25">
      <c r="B61" s="16" t="s">
        <v>1022</v>
      </c>
      <c r="C61" s="17">
        <v>500</v>
      </c>
      <c r="D61" s="62">
        <v>137.40257266023727</v>
      </c>
      <c r="E61" s="62" t="s">
        <v>1808</v>
      </c>
      <c r="F61" s="62">
        <v>688.09624987201039</v>
      </c>
      <c r="G61" s="62" t="s">
        <v>1808</v>
      </c>
      <c r="H61" s="62">
        <v>84.296789181485536</v>
      </c>
      <c r="I61" s="62" t="s">
        <v>1808</v>
      </c>
      <c r="J61" s="62">
        <v>249.16097325367943</v>
      </c>
      <c r="K61" s="62" t="s">
        <v>1807</v>
      </c>
      <c r="L61" s="62">
        <v>1.3133171054944051</v>
      </c>
      <c r="M61" s="62" t="s">
        <v>1808</v>
      </c>
      <c r="N61" s="62">
        <v>1.4827561465081867E-2</v>
      </c>
      <c r="O61" s="62" t="s">
        <v>1908</v>
      </c>
      <c r="P61" s="62">
        <v>8.0924273617601052</v>
      </c>
      <c r="Q61" s="62" t="s">
        <v>1908</v>
      </c>
      <c r="R61" s="62">
        <v>1.0855342374678545</v>
      </c>
      <c r="S61" s="62" t="s">
        <v>1908</v>
      </c>
      <c r="T61" s="62">
        <v>0.17074744658320026</v>
      </c>
      <c r="U61" s="62" t="s">
        <v>1908</v>
      </c>
      <c r="V61" s="62">
        <v>36.616673209965469</v>
      </c>
      <c r="W61" s="10" t="s">
        <v>1807</v>
      </c>
    </row>
    <row r="62" spans="2:23" ht="21.75" customHeight="1" x14ac:dyDescent="0.25">
      <c r="B62" s="16" t="s">
        <v>1023</v>
      </c>
      <c r="C62" s="18">
        <v>100</v>
      </c>
      <c r="D62" s="62">
        <v>57.726784961562124</v>
      </c>
      <c r="E62" s="62" t="s">
        <v>1807</v>
      </c>
      <c r="F62" s="62">
        <v>269.54114267126516</v>
      </c>
      <c r="G62" s="62" t="s">
        <v>1808</v>
      </c>
      <c r="H62" s="62">
        <v>480.83928941392486</v>
      </c>
      <c r="I62" s="62" t="s">
        <v>1808</v>
      </c>
      <c r="J62" s="62">
        <v>486.61905101826994</v>
      </c>
      <c r="K62" s="62" t="s">
        <v>1808</v>
      </c>
      <c r="L62" s="62">
        <v>1.0761632038934872</v>
      </c>
      <c r="M62" s="62" t="s">
        <v>1807</v>
      </c>
      <c r="N62" s="62">
        <v>0.25544310471468212</v>
      </c>
      <c r="O62" s="62" t="s">
        <v>1807</v>
      </c>
      <c r="P62" s="62">
        <v>51.943532173807952</v>
      </c>
      <c r="Q62" s="62" t="s">
        <v>1807</v>
      </c>
      <c r="R62" s="62">
        <v>2.3240356906364381</v>
      </c>
      <c r="S62" s="62" t="s">
        <v>1807</v>
      </c>
      <c r="T62" s="62">
        <v>0.25602899256551226</v>
      </c>
      <c r="U62" s="62" t="s">
        <v>1908</v>
      </c>
      <c r="V62" s="62">
        <v>189.65159297360137</v>
      </c>
      <c r="W62" s="10" t="s">
        <v>1808</v>
      </c>
    </row>
    <row r="63" spans="2:23" ht="21.75" customHeight="1" x14ac:dyDescent="0.25">
      <c r="B63" s="16" t="s">
        <v>1023</v>
      </c>
      <c r="C63" s="17">
        <v>200</v>
      </c>
      <c r="D63" s="62">
        <v>129.65335000457637</v>
      </c>
      <c r="E63" s="62" t="s">
        <v>1808</v>
      </c>
      <c r="F63" s="62">
        <v>653.4850792094478</v>
      </c>
      <c r="G63" s="62" t="s">
        <v>1808</v>
      </c>
      <c r="H63" s="62">
        <v>9.7062965918617543</v>
      </c>
      <c r="I63" s="62" t="s">
        <v>1908</v>
      </c>
      <c r="J63" s="62">
        <v>84.1029819505885</v>
      </c>
      <c r="K63" s="62" t="s">
        <v>1807</v>
      </c>
      <c r="L63" s="62">
        <v>1.1217992981915268</v>
      </c>
      <c r="M63" s="62" t="s">
        <v>1807</v>
      </c>
      <c r="N63" s="62">
        <v>8.4938252862336843E-3</v>
      </c>
      <c r="O63" s="62" t="s">
        <v>1908</v>
      </c>
      <c r="P63" s="62">
        <v>14.24928300389614</v>
      </c>
      <c r="Q63" s="62" t="s">
        <v>1908</v>
      </c>
      <c r="R63" s="62">
        <v>3.390942852753573</v>
      </c>
      <c r="S63" s="62" t="s">
        <v>1807</v>
      </c>
      <c r="T63" s="62">
        <v>8.5567464522596101E-2</v>
      </c>
      <c r="U63" s="62" t="s">
        <v>1908</v>
      </c>
      <c r="V63" s="62">
        <v>2.0771710355184618</v>
      </c>
      <c r="W63" s="10" t="s">
        <v>1908</v>
      </c>
    </row>
    <row r="64" spans="2:23" ht="21.75" customHeight="1" x14ac:dyDescent="0.25">
      <c r="B64" s="16" t="s">
        <v>1023</v>
      </c>
      <c r="C64" s="18">
        <v>300</v>
      </c>
      <c r="D64" s="62">
        <v>208.40666545267342</v>
      </c>
      <c r="E64" s="62" t="s">
        <v>1808</v>
      </c>
      <c r="F64" s="62">
        <v>1026.6645833328209</v>
      </c>
      <c r="G64" s="62" t="s">
        <v>1808</v>
      </c>
      <c r="H64" s="62">
        <v>25.915468282372938</v>
      </c>
      <c r="I64" s="62" t="s">
        <v>1807</v>
      </c>
      <c r="J64" s="62">
        <v>135.13939991686547</v>
      </c>
      <c r="K64" s="62" t="s">
        <v>1807</v>
      </c>
      <c r="L64" s="62">
        <v>1.5077928641124492</v>
      </c>
      <c r="M64" s="62" t="s">
        <v>1808</v>
      </c>
      <c r="N64" s="62">
        <v>8.4102726877701886E-2</v>
      </c>
      <c r="O64" s="62" t="s">
        <v>1908</v>
      </c>
      <c r="P64" s="62">
        <v>13.557168038147729</v>
      </c>
      <c r="Q64" s="62" t="s">
        <v>1908</v>
      </c>
      <c r="R64" s="62">
        <v>5.1837471411443383</v>
      </c>
      <c r="S64" s="62" t="s">
        <v>1808</v>
      </c>
      <c r="T64" s="62">
        <v>0.12608277612960783</v>
      </c>
      <c r="U64" s="62" t="s">
        <v>1908</v>
      </c>
      <c r="V64" s="62">
        <v>8.6235497663522764</v>
      </c>
      <c r="W64" s="10" t="s">
        <v>1908</v>
      </c>
    </row>
    <row r="65" spans="2:23" ht="21.75" customHeight="1" x14ac:dyDescent="0.25">
      <c r="B65" s="16" t="s">
        <v>1023</v>
      </c>
      <c r="C65" s="18">
        <v>400</v>
      </c>
      <c r="D65" s="62">
        <v>204.63984216773409</v>
      </c>
      <c r="E65" s="62" t="s">
        <v>1808</v>
      </c>
      <c r="F65" s="62">
        <v>1147.2169953648383</v>
      </c>
      <c r="G65" s="62" t="s">
        <v>1808</v>
      </c>
      <c r="H65" s="62">
        <v>31.776283210069266</v>
      </c>
      <c r="I65" s="62" t="s">
        <v>1807</v>
      </c>
      <c r="J65" s="62">
        <v>150.04868071117218</v>
      </c>
      <c r="K65" s="62" t="s">
        <v>1807</v>
      </c>
      <c r="L65" s="62">
        <v>1.5400567990690557</v>
      </c>
      <c r="M65" s="62" t="s">
        <v>1808</v>
      </c>
      <c r="N65" s="62">
        <v>2.7967749982377756E-2</v>
      </c>
      <c r="O65" s="62" t="s">
        <v>1908</v>
      </c>
      <c r="P65" s="62">
        <v>8.433567032969675</v>
      </c>
      <c r="Q65" s="62" t="s">
        <v>1908</v>
      </c>
      <c r="R65" s="62">
        <v>5.9256824132425399</v>
      </c>
      <c r="S65" s="62" t="s">
        <v>1808</v>
      </c>
      <c r="T65" s="62">
        <v>0.307307653107806</v>
      </c>
      <c r="U65" s="62" t="s">
        <v>1908</v>
      </c>
      <c r="V65" s="62">
        <v>9.9415088369517868</v>
      </c>
      <c r="W65" s="10" t="s">
        <v>1908</v>
      </c>
    </row>
    <row r="66" spans="2:23" ht="21.75" customHeight="1" x14ac:dyDescent="0.25">
      <c r="B66" s="16" t="s">
        <v>1023</v>
      </c>
      <c r="C66" s="17">
        <v>500</v>
      </c>
      <c r="D66" s="62">
        <v>163.16551545252506</v>
      </c>
      <c r="E66" s="62" t="s">
        <v>1808</v>
      </c>
      <c r="F66" s="62">
        <v>958.95986284196249</v>
      </c>
      <c r="G66" s="62" t="s">
        <v>1808</v>
      </c>
      <c r="H66" s="62">
        <v>8.7147942888739021</v>
      </c>
      <c r="I66" s="62" t="s">
        <v>1908</v>
      </c>
      <c r="J66" s="62">
        <v>140.90342569204378</v>
      </c>
      <c r="K66" s="62" t="s">
        <v>1807</v>
      </c>
      <c r="L66" s="62">
        <v>1.6629932637340403</v>
      </c>
      <c r="M66" s="62" t="s">
        <v>1808</v>
      </c>
      <c r="N66" s="62">
        <v>2.3627956030361625E-2</v>
      </c>
      <c r="O66" s="62" t="s">
        <v>1908</v>
      </c>
      <c r="P66" s="62">
        <v>8.3311021030977681</v>
      </c>
      <c r="Q66" s="62" t="s">
        <v>1908</v>
      </c>
      <c r="R66" s="62">
        <v>6.1829153730733246</v>
      </c>
      <c r="S66" s="62" t="s">
        <v>1808</v>
      </c>
      <c r="T66" s="62">
        <v>3.574574164053046E-2</v>
      </c>
      <c r="U66" s="62" t="s">
        <v>1908</v>
      </c>
      <c r="V66" s="62">
        <v>5.3257606662698036</v>
      </c>
      <c r="W66" s="10" t="s">
        <v>1908</v>
      </c>
    </row>
    <row r="67" spans="2:23" ht="21.75" customHeight="1" x14ac:dyDescent="0.25">
      <c r="B67" s="16" t="s">
        <v>1025</v>
      </c>
      <c r="C67" s="18">
        <v>100</v>
      </c>
      <c r="D67" s="62">
        <v>15.023524267949885</v>
      </c>
      <c r="E67" s="62" t="s">
        <v>1908</v>
      </c>
      <c r="F67" s="62">
        <v>35.972977135268948</v>
      </c>
      <c r="G67" s="62" t="s">
        <v>1808</v>
      </c>
      <c r="H67" s="62">
        <v>5.451279426306928</v>
      </c>
      <c r="I67" s="62" t="s">
        <v>1908</v>
      </c>
      <c r="J67" s="62">
        <v>21.596458391873643</v>
      </c>
      <c r="K67" s="62" t="s">
        <v>1908</v>
      </c>
      <c r="L67" s="62">
        <v>0.70980197024554748</v>
      </c>
      <c r="M67" s="62" t="s">
        <v>1807</v>
      </c>
      <c r="N67" s="62">
        <v>1.6917409162873105E-2</v>
      </c>
      <c r="O67" s="62" t="s">
        <v>1908</v>
      </c>
      <c r="P67" s="62">
        <v>7.5573939736979012</v>
      </c>
      <c r="Q67" s="62" t="s">
        <v>1908</v>
      </c>
      <c r="R67" s="62">
        <v>303.84036786981807</v>
      </c>
      <c r="S67" s="62" t="s">
        <v>1808</v>
      </c>
      <c r="T67" s="62" t="s">
        <v>1907</v>
      </c>
      <c r="U67" s="62" t="s">
        <v>1808</v>
      </c>
      <c r="V67" s="62">
        <v>1.4866344862569827</v>
      </c>
      <c r="W67" s="10" t="s">
        <v>1908</v>
      </c>
    </row>
    <row r="68" spans="2:23" ht="21.75" customHeight="1" x14ac:dyDescent="0.25">
      <c r="B68" s="16" t="s">
        <v>1025</v>
      </c>
      <c r="C68" s="17">
        <v>200</v>
      </c>
      <c r="D68" s="62">
        <v>62.028628868068324</v>
      </c>
      <c r="E68" s="62" t="s">
        <v>1807</v>
      </c>
      <c r="F68" s="62">
        <v>100.3363578337072</v>
      </c>
      <c r="G68" s="62" t="s">
        <v>1808</v>
      </c>
      <c r="H68" s="62">
        <v>11.352692017424195</v>
      </c>
      <c r="I68" s="62" t="s">
        <v>1908</v>
      </c>
      <c r="J68" s="62">
        <v>12.893531691613749</v>
      </c>
      <c r="K68" s="62" t="s">
        <v>1908</v>
      </c>
      <c r="L68" s="62">
        <v>0.76475855376663138</v>
      </c>
      <c r="M68" s="62" t="s">
        <v>1807</v>
      </c>
      <c r="N68" s="62">
        <v>1.2157902752890878E-2</v>
      </c>
      <c r="O68" s="62" t="s">
        <v>1908</v>
      </c>
      <c r="P68" s="62">
        <v>3.4658549143730668</v>
      </c>
      <c r="Q68" s="62" t="s">
        <v>1908</v>
      </c>
      <c r="R68" s="62">
        <v>501.99242360010209</v>
      </c>
      <c r="S68" s="62" t="s">
        <v>1808</v>
      </c>
      <c r="T68" s="62">
        <v>4.5787665913836493E-3</v>
      </c>
      <c r="U68" s="62" t="s">
        <v>1908</v>
      </c>
      <c r="V68" s="62">
        <v>1.9925307862303807</v>
      </c>
      <c r="W68" s="10" t="s">
        <v>1908</v>
      </c>
    </row>
    <row r="69" spans="2:23" ht="21.75" customHeight="1" x14ac:dyDescent="0.25">
      <c r="B69" s="16" t="s">
        <v>1025</v>
      </c>
      <c r="C69" s="18">
        <v>300</v>
      </c>
      <c r="D69" s="62">
        <v>145.66495166723897</v>
      </c>
      <c r="E69" s="62" t="s">
        <v>1808</v>
      </c>
      <c r="F69" s="62">
        <v>215.49976646427103</v>
      </c>
      <c r="G69" s="62" t="s">
        <v>1808</v>
      </c>
      <c r="H69" s="62">
        <v>25.399660360876659</v>
      </c>
      <c r="I69" s="62" t="s">
        <v>1807</v>
      </c>
      <c r="J69" s="62">
        <v>23.764038078387362</v>
      </c>
      <c r="K69" s="62" t="s">
        <v>1908</v>
      </c>
      <c r="L69" s="62">
        <v>1.0632995393508635</v>
      </c>
      <c r="M69" s="62" t="s">
        <v>1807</v>
      </c>
      <c r="N69" s="62">
        <v>5.994469757634685E-2</v>
      </c>
      <c r="O69" s="62" t="s">
        <v>1908</v>
      </c>
      <c r="P69" s="62">
        <v>4.5416252332275819</v>
      </c>
      <c r="Q69" s="62" t="s">
        <v>1908</v>
      </c>
      <c r="R69" s="62">
        <v>560.85830423683069</v>
      </c>
      <c r="S69" s="62" t="s">
        <v>1808</v>
      </c>
      <c r="T69" s="62">
        <v>3.7802296935754376E-2</v>
      </c>
      <c r="U69" s="62" t="s">
        <v>1908</v>
      </c>
      <c r="V69" s="62">
        <v>6.2024869581469977</v>
      </c>
      <c r="W69" s="10" t="s">
        <v>1908</v>
      </c>
    </row>
    <row r="70" spans="2:23" ht="21.75" customHeight="1" x14ac:dyDescent="0.25">
      <c r="B70" s="16" t="s">
        <v>1025</v>
      </c>
      <c r="C70" s="18">
        <v>400</v>
      </c>
      <c r="D70" s="62">
        <v>149.29776911355836</v>
      </c>
      <c r="E70" s="62" t="s">
        <v>1808</v>
      </c>
      <c r="F70" s="62">
        <v>207.65775782475947</v>
      </c>
      <c r="G70" s="62" t="s">
        <v>1808</v>
      </c>
      <c r="H70" s="62">
        <v>17.557369684559955</v>
      </c>
      <c r="I70" s="62" t="s">
        <v>1908</v>
      </c>
      <c r="J70" s="62">
        <v>15.070987913038863</v>
      </c>
      <c r="K70" s="62" t="s">
        <v>1908</v>
      </c>
      <c r="L70" s="62">
        <v>0.85254397714759622</v>
      </c>
      <c r="M70" s="62" t="s">
        <v>1807</v>
      </c>
      <c r="N70" s="62">
        <v>1.3666297185391911E-2</v>
      </c>
      <c r="O70" s="62" t="s">
        <v>1908</v>
      </c>
      <c r="P70" s="62">
        <v>3.5625749023985485</v>
      </c>
      <c r="Q70" s="62" t="s">
        <v>1908</v>
      </c>
      <c r="R70" s="62">
        <v>500.70473757877636</v>
      </c>
      <c r="S70" s="62" t="s">
        <v>1808</v>
      </c>
      <c r="T70" s="62" t="s">
        <v>1907</v>
      </c>
      <c r="U70" s="62" t="s">
        <v>1808</v>
      </c>
      <c r="V70" s="62">
        <v>5.3514017817867234</v>
      </c>
      <c r="W70" s="10" t="s">
        <v>1908</v>
      </c>
    </row>
    <row r="71" spans="2:23" ht="21.75" customHeight="1" x14ac:dyDescent="0.25">
      <c r="B71" s="16" t="s">
        <v>1025</v>
      </c>
      <c r="C71" s="17">
        <v>500</v>
      </c>
      <c r="D71" s="62">
        <v>164.56770737874245</v>
      </c>
      <c r="E71" s="62" t="s">
        <v>1808</v>
      </c>
      <c r="F71" s="62">
        <v>243.26652322879085</v>
      </c>
      <c r="G71" s="62" t="s">
        <v>1808</v>
      </c>
      <c r="H71" s="62">
        <v>18.407228330179429</v>
      </c>
      <c r="I71" s="62" t="s">
        <v>1908</v>
      </c>
      <c r="J71" s="62">
        <v>12.698238785638265</v>
      </c>
      <c r="K71" s="62" t="s">
        <v>1908</v>
      </c>
      <c r="L71" s="62">
        <v>0.94173852442877881</v>
      </c>
      <c r="M71" s="62" t="s">
        <v>1807</v>
      </c>
      <c r="N71" s="62">
        <v>6.5758909711994759E-3</v>
      </c>
      <c r="O71" s="62" t="s">
        <v>1908</v>
      </c>
      <c r="P71" s="62">
        <v>19.557991928767727</v>
      </c>
      <c r="Q71" s="62" t="s">
        <v>1908</v>
      </c>
      <c r="R71" s="62">
        <v>553.8847540950245</v>
      </c>
      <c r="S71" s="62" t="s">
        <v>1808</v>
      </c>
      <c r="T71" s="62">
        <v>1.0131358033052939E-2</v>
      </c>
      <c r="U71" s="62" t="s">
        <v>1908</v>
      </c>
      <c r="V71" s="62">
        <v>5.3826275489966502</v>
      </c>
      <c r="W71" s="10" t="s">
        <v>1908</v>
      </c>
    </row>
    <row r="72" spans="2:23" ht="21.75" customHeight="1" x14ac:dyDescent="0.25">
      <c r="B72" s="16" t="s">
        <v>1025</v>
      </c>
      <c r="C72" s="18">
        <v>600</v>
      </c>
      <c r="D72" s="62">
        <v>72.68547665917086</v>
      </c>
      <c r="E72" s="62" t="s">
        <v>1808</v>
      </c>
      <c r="F72" s="62">
        <v>121.8728341082986</v>
      </c>
      <c r="G72" s="62" t="s">
        <v>1808</v>
      </c>
      <c r="H72" s="62">
        <v>62.750589594938603</v>
      </c>
      <c r="I72" s="62" t="s">
        <v>1807</v>
      </c>
      <c r="J72" s="62">
        <v>84.33926758126519</v>
      </c>
      <c r="K72" s="62" t="s">
        <v>1807</v>
      </c>
      <c r="L72" s="62">
        <v>0.51161326521817785</v>
      </c>
      <c r="M72" s="62" t="s">
        <v>1807</v>
      </c>
      <c r="N72" s="62">
        <v>0.13474264689746926</v>
      </c>
      <c r="O72" s="62" t="s">
        <v>1807</v>
      </c>
      <c r="P72" s="62">
        <v>7.0164145110033633</v>
      </c>
      <c r="Q72" s="62" t="s">
        <v>1908</v>
      </c>
      <c r="R72" s="62">
        <v>599.91813832629862</v>
      </c>
      <c r="S72" s="62" t="s">
        <v>1808</v>
      </c>
      <c r="T72" s="62">
        <v>7.3811786801509599E-2</v>
      </c>
      <c r="U72" s="62" t="s">
        <v>1908</v>
      </c>
      <c r="V72" s="62">
        <v>17.19465520830089</v>
      </c>
      <c r="W72" s="10" t="s">
        <v>1807</v>
      </c>
    </row>
    <row r="73" spans="2:23" ht="21.75" customHeight="1" x14ac:dyDescent="0.25">
      <c r="B73" s="16" t="s">
        <v>1025</v>
      </c>
      <c r="C73" s="17">
        <v>700</v>
      </c>
      <c r="D73" s="62">
        <v>80.047701048093629</v>
      </c>
      <c r="E73" s="62" t="s">
        <v>1808</v>
      </c>
      <c r="F73" s="62">
        <v>123.84777281177021</v>
      </c>
      <c r="G73" s="62" t="s">
        <v>1808</v>
      </c>
      <c r="H73" s="62">
        <v>13.238244456264479</v>
      </c>
      <c r="I73" s="62" t="s">
        <v>1908</v>
      </c>
      <c r="J73" s="62">
        <v>57.624058570618132</v>
      </c>
      <c r="K73" s="62" t="s">
        <v>1908</v>
      </c>
      <c r="L73" s="62">
        <v>0.52018479397395023</v>
      </c>
      <c r="M73" s="62" t="s">
        <v>1807</v>
      </c>
      <c r="N73" s="62">
        <v>0.12131930796384044</v>
      </c>
      <c r="O73" s="62" t="s">
        <v>1908</v>
      </c>
      <c r="P73" s="62">
        <v>3.3799182271910264</v>
      </c>
      <c r="Q73" s="62" t="s">
        <v>1908</v>
      </c>
      <c r="R73" s="62">
        <v>534.91353486077469</v>
      </c>
      <c r="S73" s="62" t="s">
        <v>1808</v>
      </c>
      <c r="T73" s="62">
        <v>5.0815684354307375E-2</v>
      </c>
      <c r="U73" s="62" t="s">
        <v>1908</v>
      </c>
      <c r="V73" s="62">
        <v>3.5618820001581124</v>
      </c>
      <c r="W73" s="10" t="s">
        <v>1908</v>
      </c>
    </row>
    <row r="74" spans="2:23" ht="21.75" customHeight="1" x14ac:dyDescent="0.25">
      <c r="B74" s="16" t="s">
        <v>1025</v>
      </c>
      <c r="C74" s="18">
        <v>800</v>
      </c>
      <c r="D74" s="62">
        <v>154.48966604241264</v>
      </c>
      <c r="E74" s="62" t="s">
        <v>1808</v>
      </c>
      <c r="F74" s="62">
        <v>226.24576185066886</v>
      </c>
      <c r="G74" s="62" t="s">
        <v>1808</v>
      </c>
      <c r="H74" s="62">
        <v>10.959047224587156</v>
      </c>
      <c r="I74" s="62" t="s">
        <v>1908</v>
      </c>
      <c r="J74" s="62">
        <v>54.142212193725079</v>
      </c>
      <c r="K74" s="62" t="s">
        <v>1908</v>
      </c>
      <c r="L74" s="62">
        <v>0.57222849889648819</v>
      </c>
      <c r="M74" s="62" t="s">
        <v>1807</v>
      </c>
      <c r="N74" s="62">
        <v>7.3244460193739175E-2</v>
      </c>
      <c r="O74" s="62" t="s">
        <v>1908</v>
      </c>
      <c r="P74" s="62">
        <v>40.216592575305967</v>
      </c>
      <c r="Q74" s="62" t="s">
        <v>1908</v>
      </c>
      <c r="R74" s="62">
        <v>759.0030327179611</v>
      </c>
      <c r="S74" s="62" t="s">
        <v>1808</v>
      </c>
      <c r="T74" s="62">
        <v>7.1048524525155865E-2</v>
      </c>
      <c r="U74" s="62" t="s">
        <v>1908</v>
      </c>
      <c r="V74" s="62">
        <v>1.4796803334827859</v>
      </c>
      <c r="W74" s="10" t="s">
        <v>1908</v>
      </c>
    </row>
    <row r="75" spans="2:23" ht="21.75" customHeight="1" x14ac:dyDescent="0.25">
      <c r="B75" s="16" t="s">
        <v>1025</v>
      </c>
      <c r="C75" s="17">
        <v>900</v>
      </c>
      <c r="D75" s="62">
        <v>264.56607647304827</v>
      </c>
      <c r="E75" s="62" t="s">
        <v>1808</v>
      </c>
      <c r="F75" s="62">
        <v>371.58517426996087</v>
      </c>
      <c r="G75" s="62" t="s">
        <v>1808</v>
      </c>
      <c r="H75" s="62">
        <v>44.06287685668655</v>
      </c>
      <c r="I75" s="62" t="s">
        <v>1807</v>
      </c>
      <c r="J75" s="62">
        <v>59.211592876673748</v>
      </c>
      <c r="K75" s="62" t="s">
        <v>1908</v>
      </c>
      <c r="L75" s="62">
        <v>0.67398637999648048</v>
      </c>
      <c r="M75" s="62" t="s">
        <v>1807</v>
      </c>
      <c r="N75" s="62">
        <v>7.3441073325389489E-2</v>
      </c>
      <c r="O75" s="62" t="s">
        <v>1908</v>
      </c>
      <c r="P75" s="62">
        <v>26.247891229986305</v>
      </c>
      <c r="Q75" s="62" t="s">
        <v>1908</v>
      </c>
      <c r="R75" s="62">
        <v>912.97129021627711</v>
      </c>
      <c r="S75" s="62" t="s">
        <v>1808</v>
      </c>
      <c r="T75" s="62">
        <v>7.0777475336832305E-2</v>
      </c>
      <c r="U75" s="62" t="s">
        <v>1908</v>
      </c>
      <c r="V75" s="62">
        <v>11.284910779964411</v>
      </c>
      <c r="W75" s="10" t="s">
        <v>1908</v>
      </c>
    </row>
    <row r="76" spans="2:23" ht="21.75" customHeight="1" x14ac:dyDescent="0.25">
      <c r="B76" s="16" t="s">
        <v>1025</v>
      </c>
      <c r="C76" s="18">
        <v>1000</v>
      </c>
      <c r="D76" s="62">
        <v>892.59979427498752</v>
      </c>
      <c r="E76" s="62" t="s">
        <v>1808</v>
      </c>
      <c r="F76" s="62">
        <v>1235.5513239380625</v>
      </c>
      <c r="G76" s="62" t="s">
        <v>1808</v>
      </c>
      <c r="H76" s="62">
        <v>122.88759352434909</v>
      </c>
      <c r="I76" s="62" t="s">
        <v>1808</v>
      </c>
      <c r="J76" s="62">
        <v>84.912219290276951</v>
      </c>
      <c r="K76" s="62" t="s">
        <v>1807</v>
      </c>
      <c r="L76" s="62">
        <v>0.8054937094688428</v>
      </c>
      <c r="M76" s="62" t="s">
        <v>1808</v>
      </c>
      <c r="N76" s="62">
        <v>0.21947704653164421</v>
      </c>
      <c r="O76" s="62" t="s">
        <v>1807</v>
      </c>
      <c r="P76" s="62">
        <v>13.064617748974388</v>
      </c>
      <c r="Q76" s="62" t="s">
        <v>1908</v>
      </c>
      <c r="R76" s="62">
        <v>1659.0363378937107</v>
      </c>
      <c r="S76" s="62" t="s">
        <v>1808</v>
      </c>
      <c r="T76" s="62">
        <v>8.7819595626724395E-2</v>
      </c>
      <c r="U76" s="62" t="s">
        <v>1908</v>
      </c>
      <c r="V76" s="62">
        <v>23.129374369959358</v>
      </c>
      <c r="W76" s="10" t="s">
        <v>1807</v>
      </c>
    </row>
    <row r="77" spans="2:23" ht="21.75" customHeight="1" x14ac:dyDescent="0.25">
      <c r="B77" s="16" t="s">
        <v>1025</v>
      </c>
      <c r="C77" s="17">
        <v>1100</v>
      </c>
      <c r="D77" s="62">
        <v>434.07575622109096</v>
      </c>
      <c r="E77" s="62" t="s">
        <v>1808</v>
      </c>
      <c r="F77" s="62">
        <v>725.00201469528065</v>
      </c>
      <c r="G77" s="62" t="s">
        <v>1808</v>
      </c>
      <c r="H77" s="62">
        <v>34.218777837540685</v>
      </c>
      <c r="I77" s="62" t="s">
        <v>1807</v>
      </c>
      <c r="J77" s="62">
        <v>51.507645375073032</v>
      </c>
      <c r="K77" s="62" t="s">
        <v>1908</v>
      </c>
      <c r="L77" s="62">
        <v>0.9534321320110809</v>
      </c>
      <c r="M77" s="62" t="s">
        <v>1807</v>
      </c>
      <c r="N77" s="62">
        <v>0.14465516177128568</v>
      </c>
      <c r="O77" s="62" t="s">
        <v>1807</v>
      </c>
      <c r="P77" s="62">
        <v>7.4303649461454651</v>
      </c>
      <c r="Q77" s="62" t="s">
        <v>1908</v>
      </c>
      <c r="R77" s="62">
        <v>1377.3862407538386</v>
      </c>
      <c r="S77" s="62" t="s">
        <v>1808</v>
      </c>
      <c r="T77" s="62">
        <v>0.10723882212474997</v>
      </c>
      <c r="U77" s="62" t="s">
        <v>1908</v>
      </c>
      <c r="V77" s="62" t="s">
        <v>1907</v>
      </c>
      <c r="W77" s="10" t="s">
        <v>1808</v>
      </c>
    </row>
    <row r="78" spans="2:23" ht="21.75" customHeight="1" x14ac:dyDescent="0.25">
      <c r="B78" s="16" t="s">
        <v>1025</v>
      </c>
      <c r="C78" s="18">
        <v>1200</v>
      </c>
      <c r="D78" s="62">
        <v>136.17157365960981</v>
      </c>
      <c r="E78" s="62" t="s">
        <v>1808</v>
      </c>
      <c r="F78" s="62">
        <v>266.44757030028393</v>
      </c>
      <c r="G78" s="62" t="s">
        <v>1808</v>
      </c>
      <c r="H78" s="62">
        <v>24.290007898721846</v>
      </c>
      <c r="I78" s="62" t="s">
        <v>1807</v>
      </c>
      <c r="J78" s="62">
        <v>41.649730506744135</v>
      </c>
      <c r="K78" s="62" t="s">
        <v>1908</v>
      </c>
      <c r="L78" s="62">
        <v>0.70433817913014141</v>
      </c>
      <c r="M78" s="62" t="s">
        <v>1807</v>
      </c>
      <c r="N78" s="62">
        <v>7.4471256644639452E-2</v>
      </c>
      <c r="O78" s="62" t="s">
        <v>1908</v>
      </c>
      <c r="P78" s="62">
        <v>11.548476388843042</v>
      </c>
      <c r="Q78" s="62" t="s">
        <v>1908</v>
      </c>
      <c r="R78" s="62">
        <v>851.46114943235625</v>
      </c>
      <c r="S78" s="62" t="s">
        <v>1808</v>
      </c>
      <c r="T78" s="62">
        <v>8.6625500233177902E-2</v>
      </c>
      <c r="U78" s="62" t="s">
        <v>1908</v>
      </c>
      <c r="V78" s="62">
        <v>0.81685405707286662</v>
      </c>
      <c r="W78" s="10" t="s">
        <v>1908</v>
      </c>
    </row>
    <row r="79" spans="2:23" ht="21.75" customHeight="1" x14ac:dyDescent="0.25">
      <c r="B79" s="16" t="s">
        <v>1025</v>
      </c>
      <c r="C79" s="17">
        <v>1300</v>
      </c>
      <c r="D79" s="62">
        <v>23.493997603186624</v>
      </c>
      <c r="E79" s="62" t="s">
        <v>1808</v>
      </c>
      <c r="F79" s="62">
        <v>241.6223656093114</v>
      </c>
      <c r="G79" s="62" t="s">
        <v>1808</v>
      </c>
      <c r="H79" s="62">
        <v>25.88236009050895</v>
      </c>
      <c r="I79" s="62" t="s">
        <v>1808</v>
      </c>
      <c r="J79" s="62">
        <v>22.768626801132623</v>
      </c>
      <c r="K79" s="62" t="s">
        <v>1908</v>
      </c>
      <c r="L79" s="62">
        <v>0.2917605100976457</v>
      </c>
      <c r="M79" s="62" t="s">
        <v>1807</v>
      </c>
      <c r="N79" s="62">
        <v>5.6142868059655987E-2</v>
      </c>
      <c r="O79" s="62" t="s">
        <v>1807</v>
      </c>
      <c r="P79" s="62">
        <v>21.861496304371677</v>
      </c>
      <c r="Q79" s="62" t="s">
        <v>1807</v>
      </c>
      <c r="R79" s="62">
        <v>248.68327588252038</v>
      </c>
      <c r="S79" s="62" t="s">
        <v>1808</v>
      </c>
      <c r="T79" s="62">
        <v>7.8263023056176731E-2</v>
      </c>
      <c r="U79" s="62" t="s">
        <v>1908</v>
      </c>
      <c r="V79" s="62" t="s">
        <v>1907</v>
      </c>
      <c r="W79" s="10" t="s">
        <v>1808</v>
      </c>
    </row>
    <row r="80" spans="2:23" ht="21.75" customHeight="1" x14ac:dyDescent="0.25">
      <c r="B80" s="16" t="s">
        <v>1025</v>
      </c>
      <c r="C80" s="18">
        <v>1400</v>
      </c>
      <c r="D80" s="62" t="s">
        <v>1907</v>
      </c>
      <c r="E80" s="62" t="s">
        <v>1808</v>
      </c>
      <c r="F80" s="62">
        <v>77.910983590506461</v>
      </c>
      <c r="G80" s="62" t="s">
        <v>1808</v>
      </c>
      <c r="H80" s="62">
        <v>2.6497092159982487</v>
      </c>
      <c r="I80" s="62" t="s">
        <v>1908</v>
      </c>
      <c r="J80" s="62">
        <v>132.40079054756501</v>
      </c>
      <c r="K80" s="62" t="s">
        <v>1808</v>
      </c>
      <c r="L80" s="62">
        <v>1.4947444361937952</v>
      </c>
      <c r="M80" s="62" t="s">
        <v>1808</v>
      </c>
      <c r="N80" s="62">
        <v>3.4253767399626607E-2</v>
      </c>
      <c r="O80" s="62" t="s">
        <v>1807</v>
      </c>
      <c r="P80" s="62" t="s">
        <v>1907</v>
      </c>
      <c r="Q80" s="62" t="s">
        <v>1808</v>
      </c>
      <c r="R80" s="62">
        <v>92.189271642760843</v>
      </c>
      <c r="S80" s="62" t="s">
        <v>1808</v>
      </c>
      <c r="T80" s="62" t="s">
        <v>1907</v>
      </c>
      <c r="U80" s="62" t="s">
        <v>1808</v>
      </c>
      <c r="V80" s="62" t="s">
        <v>1907</v>
      </c>
      <c r="W80" s="10" t="s">
        <v>1808</v>
      </c>
    </row>
    <row r="81" spans="2:23" ht="21.75" customHeight="1" x14ac:dyDescent="0.25">
      <c r="B81" s="16" t="s">
        <v>1026</v>
      </c>
      <c r="C81" s="17">
        <v>100</v>
      </c>
      <c r="D81" s="62">
        <v>2.4042905152198268</v>
      </c>
      <c r="E81" s="62" t="s">
        <v>1908</v>
      </c>
      <c r="F81" s="62">
        <v>25.514630319130866</v>
      </c>
      <c r="G81" s="62" t="s">
        <v>1807</v>
      </c>
      <c r="H81" s="62">
        <v>43.865407637985093</v>
      </c>
      <c r="I81" s="62" t="s">
        <v>1807</v>
      </c>
      <c r="J81" s="62">
        <v>97.025107337606201</v>
      </c>
      <c r="K81" s="62" t="s">
        <v>1807</v>
      </c>
      <c r="L81" s="62">
        <v>0.44064819480155537</v>
      </c>
      <c r="M81" s="62" t="s">
        <v>1807</v>
      </c>
      <c r="N81" s="62">
        <v>0.11547294177307725</v>
      </c>
      <c r="O81" s="62" t="s">
        <v>1908</v>
      </c>
      <c r="P81" s="62">
        <v>26.644511590781867</v>
      </c>
      <c r="Q81" s="62" t="s">
        <v>1908</v>
      </c>
      <c r="R81" s="62">
        <v>142.51560714493712</v>
      </c>
      <c r="S81" s="62" t="s">
        <v>1808</v>
      </c>
      <c r="T81" s="62">
        <v>0.10923488001625013</v>
      </c>
      <c r="U81" s="62" t="s">
        <v>1908</v>
      </c>
      <c r="V81" s="62">
        <v>15.666379441547983</v>
      </c>
      <c r="W81" s="10" t="s">
        <v>1807</v>
      </c>
    </row>
    <row r="82" spans="2:23" ht="21.75" customHeight="1" x14ac:dyDescent="0.25">
      <c r="B82" s="16" t="s">
        <v>1026</v>
      </c>
      <c r="C82" s="18">
        <v>200</v>
      </c>
      <c r="D82" s="62">
        <v>37.482222160175816</v>
      </c>
      <c r="E82" s="62" t="s">
        <v>1807</v>
      </c>
      <c r="F82" s="62">
        <v>70.349419218283288</v>
      </c>
      <c r="G82" s="62" t="s">
        <v>1808</v>
      </c>
      <c r="H82" s="62">
        <v>4.8285010920328704</v>
      </c>
      <c r="I82" s="62" t="s">
        <v>1908</v>
      </c>
      <c r="J82" s="62">
        <v>33.973049180247081</v>
      </c>
      <c r="K82" s="62" t="s">
        <v>1908</v>
      </c>
      <c r="L82" s="62">
        <v>0.90063148810567772</v>
      </c>
      <c r="M82" s="62" t="s">
        <v>1808</v>
      </c>
      <c r="N82" s="62">
        <v>6.5874547802057606E-2</v>
      </c>
      <c r="O82" s="62" t="s">
        <v>1908</v>
      </c>
      <c r="P82" s="62">
        <v>2.667773228219176</v>
      </c>
      <c r="Q82" s="62" t="s">
        <v>1908</v>
      </c>
      <c r="R82" s="62">
        <v>174.85371021898933</v>
      </c>
      <c r="S82" s="62" t="s">
        <v>1808</v>
      </c>
      <c r="T82" s="62">
        <v>6.8209062366865999E-3</v>
      </c>
      <c r="U82" s="62" t="s">
        <v>1908</v>
      </c>
      <c r="V82" s="62">
        <v>3.0048635171072942</v>
      </c>
      <c r="W82" s="10" t="s">
        <v>1908</v>
      </c>
    </row>
    <row r="83" spans="2:23" ht="21.75" customHeight="1" x14ac:dyDescent="0.25">
      <c r="B83" s="16" t="s">
        <v>1026</v>
      </c>
      <c r="C83" s="17">
        <v>300</v>
      </c>
      <c r="D83" s="62">
        <v>51.683495476832583</v>
      </c>
      <c r="E83" s="62" t="s">
        <v>1807</v>
      </c>
      <c r="F83" s="62">
        <v>109.32418485125251</v>
      </c>
      <c r="G83" s="62" t="s">
        <v>1808</v>
      </c>
      <c r="H83" s="62">
        <v>1840.0555316286682</v>
      </c>
      <c r="I83" s="62" t="s">
        <v>1808</v>
      </c>
      <c r="J83" s="62">
        <v>1500.0801555939904</v>
      </c>
      <c r="K83" s="62" t="s">
        <v>1808</v>
      </c>
      <c r="L83" s="62">
        <v>0.62374181629770697</v>
      </c>
      <c r="M83" s="62" t="s">
        <v>1808</v>
      </c>
      <c r="N83" s="62">
        <v>0.55894677851340513</v>
      </c>
      <c r="O83" s="62" t="s">
        <v>1808</v>
      </c>
      <c r="P83" s="62">
        <v>45.919894128909938</v>
      </c>
      <c r="Q83" s="62" t="s">
        <v>1908</v>
      </c>
      <c r="R83" s="62">
        <v>172.56622981522796</v>
      </c>
      <c r="S83" s="62" t="s">
        <v>1808</v>
      </c>
      <c r="T83" s="62">
        <v>1.0774063935224711</v>
      </c>
      <c r="U83" s="62" t="s">
        <v>1807</v>
      </c>
      <c r="V83" s="62">
        <v>734.04742210228756</v>
      </c>
      <c r="W83" s="10" t="s">
        <v>1808</v>
      </c>
    </row>
    <row r="84" spans="2:23" ht="21.75" customHeight="1" x14ac:dyDescent="0.25">
      <c r="B84" s="16" t="s">
        <v>1026</v>
      </c>
      <c r="C84" s="18">
        <v>400</v>
      </c>
      <c r="D84" s="62">
        <v>93.074402798505702</v>
      </c>
      <c r="E84" s="62" t="s">
        <v>1808</v>
      </c>
      <c r="F84" s="62">
        <v>132.7615762794938</v>
      </c>
      <c r="G84" s="62" t="s">
        <v>1808</v>
      </c>
      <c r="H84" s="62">
        <v>16.227094828565789</v>
      </c>
      <c r="I84" s="62" t="s">
        <v>1908</v>
      </c>
      <c r="J84" s="62">
        <v>102.59577507456117</v>
      </c>
      <c r="K84" s="62" t="s">
        <v>1807</v>
      </c>
      <c r="L84" s="62">
        <v>0.74244605339643666</v>
      </c>
      <c r="M84" s="62" t="s">
        <v>1808</v>
      </c>
      <c r="N84" s="62">
        <v>6.7981341307568693E-2</v>
      </c>
      <c r="O84" s="62" t="s">
        <v>1908</v>
      </c>
      <c r="P84" s="62">
        <v>50.033984750461954</v>
      </c>
      <c r="Q84" s="62" t="s">
        <v>1908</v>
      </c>
      <c r="R84" s="62">
        <v>213.13084049809956</v>
      </c>
      <c r="S84" s="62" t="s">
        <v>1808</v>
      </c>
      <c r="T84" s="62">
        <v>0.13742425304161013</v>
      </c>
      <c r="U84" s="62" t="s">
        <v>1908</v>
      </c>
      <c r="V84" s="62">
        <v>5.1833760639405586</v>
      </c>
      <c r="W84" s="10" t="s">
        <v>1908</v>
      </c>
    </row>
    <row r="85" spans="2:23" ht="21.75" customHeight="1" x14ac:dyDescent="0.25">
      <c r="B85" s="16" t="s">
        <v>1026</v>
      </c>
      <c r="C85" s="18">
        <v>500</v>
      </c>
      <c r="D85" s="62">
        <v>129.82157098052747</v>
      </c>
      <c r="E85" s="62" t="s">
        <v>1808</v>
      </c>
      <c r="F85" s="62">
        <v>193.86766876781004</v>
      </c>
      <c r="G85" s="62" t="s">
        <v>1808</v>
      </c>
      <c r="H85" s="62">
        <v>15.244135024649289</v>
      </c>
      <c r="I85" s="62" t="s">
        <v>1908</v>
      </c>
      <c r="J85" s="62">
        <v>93.300390202651613</v>
      </c>
      <c r="K85" s="62" t="s">
        <v>1807</v>
      </c>
      <c r="L85" s="62">
        <v>0.70889298316702354</v>
      </c>
      <c r="M85" s="62" t="s">
        <v>1808</v>
      </c>
      <c r="N85" s="62">
        <v>8.1239137700234304E-2</v>
      </c>
      <c r="O85" s="62" t="s">
        <v>1908</v>
      </c>
      <c r="P85" s="62">
        <v>6.4521088329766192</v>
      </c>
      <c r="Q85" s="62" t="s">
        <v>1908</v>
      </c>
      <c r="R85" s="62">
        <v>235.73625286980553</v>
      </c>
      <c r="S85" s="62" t="s">
        <v>1808</v>
      </c>
      <c r="T85" s="62">
        <v>0.21204937874454438</v>
      </c>
      <c r="U85" s="62" t="s">
        <v>1908</v>
      </c>
      <c r="V85" s="62">
        <v>2.608694649687251</v>
      </c>
      <c r="W85" s="10" t="s">
        <v>1908</v>
      </c>
    </row>
    <row r="86" spans="2:23" ht="21.75" customHeight="1" x14ac:dyDescent="0.25">
      <c r="B86" s="16" t="s">
        <v>1027</v>
      </c>
      <c r="C86" s="17">
        <v>100</v>
      </c>
      <c r="D86" s="62">
        <v>22.770257007648638</v>
      </c>
      <c r="E86" s="62" t="s">
        <v>1807</v>
      </c>
      <c r="F86" s="62">
        <v>37.581176595000954</v>
      </c>
      <c r="G86" s="62" t="s">
        <v>1808</v>
      </c>
      <c r="H86" s="62">
        <v>17.70036972706631</v>
      </c>
      <c r="I86" s="62" t="s">
        <v>1908</v>
      </c>
      <c r="J86" s="62">
        <v>83.17656451449426</v>
      </c>
      <c r="K86" s="62" t="s">
        <v>1807</v>
      </c>
      <c r="L86" s="62">
        <v>1.0028905892325397</v>
      </c>
      <c r="M86" s="62" t="s">
        <v>1807</v>
      </c>
      <c r="N86" s="62">
        <v>0.13197140877681229</v>
      </c>
      <c r="O86" s="62" t="s">
        <v>1807</v>
      </c>
      <c r="P86" s="62">
        <v>15.529780350496361</v>
      </c>
      <c r="Q86" s="62" t="s">
        <v>1908</v>
      </c>
      <c r="R86" s="62">
        <v>177.64341691853721</v>
      </c>
      <c r="S86" s="62" t="s">
        <v>1808</v>
      </c>
      <c r="T86" s="62">
        <v>6.8839957383143718E-2</v>
      </c>
      <c r="U86" s="62" t="s">
        <v>1908</v>
      </c>
      <c r="V86" s="62">
        <v>6.6307886701059982</v>
      </c>
      <c r="W86" s="10" t="s">
        <v>1908</v>
      </c>
    </row>
    <row r="87" spans="2:23" ht="21.75" customHeight="1" x14ac:dyDescent="0.25">
      <c r="B87" s="16" t="s">
        <v>1027</v>
      </c>
      <c r="C87" s="18">
        <v>200</v>
      </c>
      <c r="D87" s="62">
        <v>50.289370536492285</v>
      </c>
      <c r="E87" s="62" t="s">
        <v>1807</v>
      </c>
      <c r="F87" s="62">
        <v>78.205246387032673</v>
      </c>
      <c r="G87" s="62" t="s">
        <v>1808</v>
      </c>
      <c r="H87" s="62">
        <v>11.644708112763933</v>
      </c>
      <c r="I87" s="62" t="s">
        <v>1908</v>
      </c>
      <c r="J87" s="62">
        <v>61.318097023053888</v>
      </c>
      <c r="K87" s="62" t="s">
        <v>1908</v>
      </c>
      <c r="L87" s="62">
        <v>1.1611027751363985</v>
      </c>
      <c r="M87" s="62" t="s">
        <v>1807</v>
      </c>
      <c r="N87" s="62">
        <v>0.11789631108736776</v>
      </c>
      <c r="O87" s="62" t="s">
        <v>1908</v>
      </c>
      <c r="P87" s="62">
        <v>8.965955231907822</v>
      </c>
      <c r="Q87" s="62" t="s">
        <v>1908</v>
      </c>
      <c r="R87" s="62">
        <v>186.32681926407528</v>
      </c>
      <c r="S87" s="62" t="s">
        <v>1808</v>
      </c>
      <c r="T87" s="62">
        <v>0.39131819551020319</v>
      </c>
      <c r="U87" s="62" t="s">
        <v>1908</v>
      </c>
      <c r="V87" s="62">
        <v>3.8885480256782374</v>
      </c>
      <c r="W87" s="10" t="s">
        <v>1908</v>
      </c>
    </row>
    <row r="88" spans="2:23" ht="21.75" customHeight="1" x14ac:dyDescent="0.25">
      <c r="B88" s="16" t="s">
        <v>1027</v>
      </c>
      <c r="C88" s="17">
        <v>300</v>
      </c>
      <c r="D88" s="62">
        <v>80.358406754657324</v>
      </c>
      <c r="E88" s="62" t="s">
        <v>1808</v>
      </c>
      <c r="F88" s="62">
        <v>118.10817576216992</v>
      </c>
      <c r="G88" s="62" t="s">
        <v>1808</v>
      </c>
      <c r="H88" s="62">
        <v>20.105061320207</v>
      </c>
      <c r="I88" s="62" t="s">
        <v>1908</v>
      </c>
      <c r="J88" s="62">
        <v>41.76317106636062</v>
      </c>
      <c r="K88" s="62" t="s">
        <v>1908</v>
      </c>
      <c r="L88" s="62">
        <v>1.2712401068967401</v>
      </c>
      <c r="M88" s="62" t="s">
        <v>1808</v>
      </c>
      <c r="N88" s="62">
        <v>0.43027829913542209</v>
      </c>
      <c r="O88" s="62" t="s">
        <v>1807</v>
      </c>
      <c r="P88" s="62">
        <v>13.050210845574616</v>
      </c>
      <c r="Q88" s="62" t="s">
        <v>1908</v>
      </c>
      <c r="R88" s="62">
        <v>182.5951847397609</v>
      </c>
      <c r="S88" s="62" t="s">
        <v>1808</v>
      </c>
      <c r="T88" s="62">
        <v>5.8478624924677501E-2</v>
      </c>
      <c r="U88" s="62" t="s">
        <v>1908</v>
      </c>
      <c r="V88" s="62">
        <v>8.0138499734446214</v>
      </c>
      <c r="W88" s="10" t="s">
        <v>1908</v>
      </c>
    </row>
    <row r="89" spans="2:23" ht="21.75" customHeight="1" x14ac:dyDescent="0.25">
      <c r="B89" s="16" t="s">
        <v>1027</v>
      </c>
      <c r="C89" s="18">
        <v>400</v>
      </c>
      <c r="D89" s="62">
        <v>127.00091793617614</v>
      </c>
      <c r="E89" s="62" t="s">
        <v>1808</v>
      </c>
      <c r="F89" s="62">
        <v>181.65305110122085</v>
      </c>
      <c r="G89" s="62" t="s">
        <v>1808</v>
      </c>
      <c r="H89" s="62">
        <v>11.809141530854889</v>
      </c>
      <c r="I89" s="62" t="s">
        <v>1908</v>
      </c>
      <c r="J89" s="62">
        <v>51.645477524831996</v>
      </c>
      <c r="K89" s="62" t="s">
        <v>1908</v>
      </c>
      <c r="L89" s="62">
        <v>1.3098483945748014</v>
      </c>
      <c r="M89" s="62" t="s">
        <v>1808</v>
      </c>
      <c r="N89" s="62">
        <v>0.10556099075384046</v>
      </c>
      <c r="O89" s="62" t="s">
        <v>1908</v>
      </c>
      <c r="P89" s="62">
        <v>32.257413370370806</v>
      </c>
      <c r="Q89" s="62" t="s">
        <v>1908</v>
      </c>
      <c r="R89" s="62">
        <v>246.88353841807387</v>
      </c>
      <c r="S89" s="62" t="s">
        <v>1808</v>
      </c>
      <c r="T89" s="62">
        <v>7.5736524658603893E-2</v>
      </c>
      <c r="U89" s="62" t="s">
        <v>1908</v>
      </c>
      <c r="V89" s="62">
        <v>3.2589555256914782</v>
      </c>
      <c r="W89" s="10" t="s">
        <v>1908</v>
      </c>
    </row>
    <row r="90" spans="2:23" ht="21.75" customHeight="1" x14ac:dyDescent="0.25">
      <c r="B90" s="16" t="s">
        <v>1027</v>
      </c>
      <c r="C90" s="18">
        <v>500</v>
      </c>
      <c r="D90" s="62">
        <v>136.2875698895206</v>
      </c>
      <c r="E90" s="62" t="s">
        <v>1808</v>
      </c>
      <c r="F90" s="62">
        <v>194.42963607543115</v>
      </c>
      <c r="G90" s="62" t="s">
        <v>1808</v>
      </c>
      <c r="H90" s="62">
        <v>56.363697961649642</v>
      </c>
      <c r="I90" s="62" t="s">
        <v>1807</v>
      </c>
      <c r="J90" s="62">
        <v>64.072550581745205</v>
      </c>
      <c r="K90" s="62" t="s">
        <v>1908</v>
      </c>
      <c r="L90" s="62">
        <v>1.5322833768194137</v>
      </c>
      <c r="M90" s="62" t="s">
        <v>1808</v>
      </c>
      <c r="N90" s="62">
        <v>0.13265788301270182</v>
      </c>
      <c r="O90" s="62" t="s">
        <v>1908</v>
      </c>
      <c r="P90" s="62">
        <v>2.0649019692818893</v>
      </c>
      <c r="Q90" s="62" t="s">
        <v>1908</v>
      </c>
      <c r="R90" s="62">
        <v>267.14288067646567</v>
      </c>
      <c r="S90" s="62" t="s">
        <v>1808</v>
      </c>
      <c r="T90" s="62">
        <v>0.12255966178212051</v>
      </c>
      <c r="U90" s="62" t="s">
        <v>1908</v>
      </c>
      <c r="V90" s="62">
        <v>21.251569242862992</v>
      </c>
      <c r="W90" s="10" t="s">
        <v>1807</v>
      </c>
    </row>
    <row r="91" spans="2:23" ht="21.75" customHeight="1" x14ac:dyDescent="0.25">
      <c r="B91" s="16" t="s">
        <v>1347</v>
      </c>
      <c r="C91" s="17">
        <v>100</v>
      </c>
      <c r="D91" s="62">
        <v>15.009349124315911</v>
      </c>
      <c r="E91" s="62" t="s">
        <v>1908</v>
      </c>
      <c r="F91" s="62">
        <v>126.41410512118931</v>
      </c>
      <c r="G91" s="62" t="s">
        <v>1808</v>
      </c>
      <c r="H91" s="62">
        <v>724.97179842302614</v>
      </c>
      <c r="I91" s="62" t="s">
        <v>1808</v>
      </c>
      <c r="J91" s="62">
        <v>5908.7261400626676</v>
      </c>
      <c r="K91" s="62" t="s">
        <v>1808</v>
      </c>
      <c r="L91" s="62">
        <v>1.7414087725701615</v>
      </c>
      <c r="M91" s="62" t="s">
        <v>1808</v>
      </c>
      <c r="N91" s="62">
        <v>0.74563882525500713</v>
      </c>
      <c r="O91" s="62" t="s">
        <v>1808</v>
      </c>
      <c r="P91" s="62">
        <v>31.455466711208857</v>
      </c>
      <c r="Q91" s="62" t="s">
        <v>1908</v>
      </c>
      <c r="R91" s="62">
        <v>333.39182003122045</v>
      </c>
      <c r="S91" s="62" t="s">
        <v>1808</v>
      </c>
      <c r="T91" s="62">
        <v>1.1638448120330551</v>
      </c>
      <c r="U91" s="62" t="s">
        <v>1807</v>
      </c>
      <c r="V91" s="62">
        <v>898.00581084983696</v>
      </c>
      <c r="W91" s="10" t="s">
        <v>1808</v>
      </c>
    </row>
    <row r="92" spans="2:23" ht="21.75" customHeight="1" x14ac:dyDescent="0.25">
      <c r="B92" s="16" t="s">
        <v>1347</v>
      </c>
      <c r="C92" s="18">
        <v>200</v>
      </c>
      <c r="D92" s="62">
        <v>23.396529957166422</v>
      </c>
      <c r="E92" s="62" t="s">
        <v>1807</v>
      </c>
      <c r="F92" s="62">
        <v>43.715694385933901</v>
      </c>
      <c r="G92" s="62" t="s">
        <v>1808</v>
      </c>
      <c r="H92" s="62">
        <v>8.0322271604553563</v>
      </c>
      <c r="I92" s="62" t="s">
        <v>1908</v>
      </c>
      <c r="J92" s="62">
        <v>22.452119392065022</v>
      </c>
      <c r="K92" s="62" t="s">
        <v>1908</v>
      </c>
      <c r="L92" s="62">
        <v>1.1187685981930489</v>
      </c>
      <c r="M92" s="62" t="s">
        <v>1807</v>
      </c>
      <c r="N92" s="62">
        <v>0.11916448555232603</v>
      </c>
      <c r="O92" s="62" t="s">
        <v>1908</v>
      </c>
      <c r="P92" s="62">
        <v>3.1604721343271311</v>
      </c>
      <c r="Q92" s="62" t="s">
        <v>1908</v>
      </c>
      <c r="R92" s="62">
        <v>399.70229064386621</v>
      </c>
      <c r="S92" s="62" t="s">
        <v>1808</v>
      </c>
      <c r="T92" s="62" t="s">
        <v>1907</v>
      </c>
      <c r="U92" s="62" t="s">
        <v>1808</v>
      </c>
      <c r="V92" s="62">
        <v>0.58021184136461812</v>
      </c>
      <c r="W92" s="10" t="s">
        <v>1908</v>
      </c>
    </row>
    <row r="93" spans="2:23" ht="21.75" customHeight="1" x14ac:dyDescent="0.25">
      <c r="B93" s="16" t="s">
        <v>1347</v>
      </c>
      <c r="C93" s="17">
        <v>300</v>
      </c>
      <c r="D93" s="62">
        <v>34.046474309752774</v>
      </c>
      <c r="E93" s="62" t="s">
        <v>1807</v>
      </c>
      <c r="F93" s="62">
        <v>81.956638574333397</v>
      </c>
      <c r="G93" s="62" t="s">
        <v>1808</v>
      </c>
      <c r="H93" s="62">
        <v>644.74281694393835</v>
      </c>
      <c r="I93" s="62" t="s">
        <v>1808</v>
      </c>
      <c r="J93" s="62">
        <v>1651.5265156566625</v>
      </c>
      <c r="K93" s="62" t="s">
        <v>1808</v>
      </c>
      <c r="L93" s="62">
        <v>2.2253751790170551</v>
      </c>
      <c r="M93" s="62" t="s">
        <v>1808</v>
      </c>
      <c r="N93" s="62">
        <v>0.47656478611222897</v>
      </c>
      <c r="O93" s="62" t="s">
        <v>1808</v>
      </c>
      <c r="P93" s="62">
        <v>15.802707853536155</v>
      </c>
      <c r="Q93" s="62" t="s">
        <v>1908</v>
      </c>
      <c r="R93" s="62">
        <v>468.36569591839157</v>
      </c>
      <c r="S93" s="62" t="s">
        <v>1808</v>
      </c>
      <c r="T93" s="62">
        <v>0.39843699870535487</v>
      </c>
      <c r="U93" s="62" t="s">
        <v>1908</v>
      </c>
      <c r="V93" s="62">
        <v>429.80451265358766</v>
      </c>
      <c r="W93" s="10" t="s">
        <v>1808</v>
      </c>
    </row>
    <row r="94" spans="2:23" ht="21.75" customHeight="1" x14ac:dyDescent="0.25">
      <c r="B94" s="16" t="s">
        <v>1347</v>
      </c>
      <c r="C94" s="18">
        <v>400</v>
      </c>
      <c r="D94" s="62">
        <v>5.3780321478210364</v>
      </c>
      <c r="E94" s="62" t="s">
        <v>1908</v>
      </c>
      <c r="F94" s="62">
        <v>25.232421382099858</v>
      </c>
      <c r="G94" s="62" t="s">
        <v>1807</v>
      </c>
      <c r="H94" s="62">
        <v>10.139936741950804</v>
      </c>
      <c r="I94" s="62" t="s">
        <v>1908</v>
      </c>
      <c r="J94" s="62">
        <v>36.615769169776854</v>
      </c>
      <c r="K94" s="62" t="s">
        <v>1908</v>
      </c>
      <c r="L94" s="62">
        <v>0.89721855492176894</v>
      </c>
      <c r="M94" s="62" t="s">
        <v>1807</v>
      </c>
      <c r="N94" s="62">
        <v>0.15147244946286381</v>
      </c>
      <c r="O94" s="62" t="s">
        <v>1807</v>
      </c>
      <c r="P94" s="62" t="s">
        <v>1907</v>
      </c>
      <c r="Q94" s="62" t="s">
        <v>1808</v>
      </c>
      <c r="R94" s="62">
        <v>341.15096270878672</v>
      </c>
      <c r="S94" s="62" t="s">
        <v>1808</v>
      </c>
      <c r="T94" s="62">
        <v>7.3999653954413824E-3</v>
      </c>
      <c r="U94" s="62" t="s">
        <v>1908</v>
      </c>
      <c r="V94" s="62" t="s">
        <v>1907</v>
      </c>
      <c r="W94" s="10" t="s">
        <v>1808</v>
      </c>
    </row>
    <row r="95" spans="2:23" ht="21.75" customHeight="1" x14ac:dyDescent="0.25">
      <c r="B95" s="16" t="s">
        <v>1347</v>
      </c>
      <c r="C95" s="18">
        <v>500</v>
      </c>
      <c r="D95" s="62">
        <v>14.497508590997462</v>
      </c>
      <c r="E95" s="62" t="s">
        <v>1908</v>
      </c>
      <c r="F95" s="62">
        <v>41.228774010738043</v>
      </c>
      <c r="G95" s="62" t="s">
        <v>1808</v>
      </c>
      <c r="H95" s="62">
        <v>8.5905384376358782</v>
      </c>
      <c r="I95" s="62" t="s">
        <v>1908</v>
      </c>
      <c r="J95" s="62">
        <v>71.855088366779924</v>
      </c>
      <c r="K95" s="62" t="s">
        <v>1908</v>
      </c>
      <c r="L95" s="62">
        <v>0.95941788991284105</v>
      </c>
      <c r="M95" s="62" t="s">
        <v>1807</v>
      </c>
      <c r="N95" s="62">
        <v>0.11367130483784119</v>
      </c>
      <c r="O95" s="62" t="s">
        <v>1908</v>
      </c>
      <c r="P95" s="62">
        <v>5.0287502350100892</v>
      </c>
      <c r="Q95" s="62" t="s">
        <v>1908</v>
      </c>
      <c r="R95" s="62">
        <v>355.4076392778959</v>
      </c>
      <c r="S95" s="62" t="s">
        <v>1808</v>
      </c>
      <c r="T95" s="62">
        <v>1.358561151473036E-2</v>
      </c>
      <c r="U95" s="62" t="s">
        <v>1908</v>
      </c>
      <c r="V95" s="62" t="s">
        <v>1907</v>
      </c>
      <c r="W95" s="10" t="s">
        <v>1808</v>
      </c>
    </row>
    <row r="96" spans="2:23" ht="21.75" customHeight="1" x14ac:dyDescent="0.25">
      <c r="B96" s="16" t="s">
        <v>1348</v>
      </c>
      <c r="C96" s="17">
        <v>100</v>
      </c>
      <c r="D96" s="62">
        <v>12.575408486013798</v>
      </c>
      <c r="E96" s="62" t="s">
        <v>1908</v>
      </c>
      <c r="F96" s="62">
        <v>48.518230535235062</v>
      </c>
      <c r="G96" s="62" t="s">
        <v>1808</v>
      </c>
      <c r="H96" s="62">
        <v>5.2482180032546939</v>
      </c>
      <c r="I96" s="62" t="s">
        <v>1908</v>
      </c>
      <c r="J96" s="62">
        <v>84.081102666235878</v>
      </c>
      <c r="K96" s="62" t="s">
        <v>1807</v>
      </c>
      <c r="L96" s="62">
        <v>0.68491757285272581</v>
      </c>
      <c r="M96" s="62" t="s">
        <v>1808</v>
      </c>
      <c r="N96" s="62">
        <v>0.46030509796617641</v>
      </c>
      <c r="O96" s="62" t="s">
        <v>1808</v>
      </c>
      <c r="P96" s="62">
        <v>8.3283059642663915</v>
      </c>
      <c r="Q96" s="62" t="s">
        <v>1908</v>
      </c>
      <c r="R96" s="62">
        <v>303.7978531355991</v>
      </c>
      <c r="S96" s="62" t="s">
        <v>1808</v>
      </c>
      <c r="T96" s="62">
        <v>3.8870470117391191E-2</v>
      </c>
      <c r="U96" s="62" t="s">
        <v>1908</v>
      </c>
      <c r="V96" s="62">
        <v>1.9470908660779762</v>
      </c>
      <c r="W96" s="10" t="s">
        <v>1908</v>
      </c>
    </row>
    <row r="97" spans="2:23" ht="21.75" customHeight="1" x14ac:dyDescent="0.25">
      <c r="B97" s="16" t="s">
        <v>1348</v>
      </c>
      <c r="C97" s="18">
        <v>200</v>
      </c>
      <c r="D97" s="62">
        <v>10.677981029395047</v>
      </c>
      <c r="E97" s="62" t="s">
        <v>1908</v>
      </c>
      <c r="F97" s="62">
        <v>47.347452274366269</v>
      </c>
      <c r="G97" s="62" t="s">
        <v>1808</v>
      </c>
      <c r="H97" s="62">
        <v>159.62036770998361</v>
      </c>
      <c r="I97" s="62" t="s">
        <v>1808</v>
      </c>
      <c r="J97" s="62">
        <v>205.99281972879075</v>
      </c>
      <c r="K97" s="62" t="s">
        <v>1807</v>
      </c>
      <c r="L97" s="62">
        <v>0.66744874369793983</v>
      </c>
      <c r="M97" s="62" t="s">
        <v>1808</v>
      </c>
      <c r="N97" s="62">
        <v>0.53682123354598776</v>
      </c>
      <c r="O97" s="62" t="s">
        <v>1808</v>
      </c>
      <c r="P97" s="62">
        <v>2.8375828995451928</v>
      </c>
      <c r="Q97" s="62" t="s">
        <v>1908</v>
      </c>
      <c r="R97" s="62">
        <v>364.59018856763407</v>
      </c>
      <c r="S97" s="62" t="s">
        <v>1808</v>
      </c>
      <c r="T97" s="62">
        <v>7.2957883693507544E-2</v>
      </c>
      <c r="U97" s="62" t="s">
        <v>1908</v>
      </c>
      <c r="V97" s="62">
        <v>57.574283701834723</v>
      </c>
      <c r="W97" s="10" t="s">
        <v>1808</v>
      </c>
    </row>
    <row r="98" spans="2:23" ht="21.75" customHeight="1" x14ac:dyDescent="0.25">
      <c r="B98" s="16" t="s">
        <v>1348</v>
      </c>
      <c r="C98" s="17">
        <v>300</v>
      </c>
      <c r="D98" s="62">
        <v>56.353034926868062</v>
      </c>
      <c r="E98" s="62" t="s">
        <v>1807</v>
      </c>
      <c r="F98" s="62">
        <v>51.874523725967457</v>
      </c>
      <c r="G98" s="62" t="s">
        <v>1808</v>
      </c>
      <c r="H98" s="62">
        <v>50.204391459040032</v>
      </c>
      <c r="I98" s="62" t="s">
        <v>1807</v>
      </c>
      <c r="J98" s="62">
        <v>90.382980990549129</v>
      </c>
      <c r="K98" s="62" t="s">
        <v>1908</v>
      </c>
      <c r="L98" s="62">
        <v>0.74122297735393894</v>
      </c>
      <c r="M98" s="62" t="s">
        <v>1808</v>
      </c>
      <c r="N98" s="62">
        <v>0.45284044017520808</v>
      </c>
      <c r="O98" s="62" t="s">
        <v>1807</v>
      </c>
      <c r="P98" s="62">
        <v>3.7281326987227414</v>
      </c>
      <c r="Q98" s="62" t="s">
        <v>1908</v>
      </c>
      <c r="R98" s="62">
        <v>380.9439880254663</v>
      </c>
      <c r="S98" s="62" t="s">
        <v>1808</v>
      </c>
      <c r="T98" s="62">
        <v>1.6673585669750943E-2</v>
      </c>
      <c r="U98" s="62" t="s">
        <v>1908</v>
      </c>
      <c r="V98" s="62">
        <v>10.457458423758803</v>
      </c>
      <c r="W98" s="10" t="s">
        <v>1908</v>
      </c>
    </row>
    <row r="99" spans="2:23" ht="21.75" customHeight="1" x14ac:dyDescent="0.25">
      <c r="B99" s="16" t="s">
        <v>1348</v>
      </c>
      <c r="C99" s="18">
        <v>400</v>
      </c>
      <c r="D99" s="62">
        <v>27.371166992648106</v>
      </c>
      <c r="E99" s="62" t="s">
        <v>1807</v>
      </c>
      <c r="F99" s="62">
        <v>80.476288106150108</v>
      </c>
      <c r="G99" s="62" t="s">
        <v>1808</v>
      </c>
      <c r="H99" s="62">
        <v>1839.7570189070179</v>
      </c>
      <c r="I99" s="62" t="s">
        <v>1808</v>
      </c>
      <c r="J99" s="62">
        <v>1032.2019207422136</v>
      </c>
      <c r="K99" s="62" t="s">
        <v>1808</v>
      </c>
      <c r="L99" s="62">
        <v>0.8175892568035964</v>
      </c>
      <c r="M99" s="62" t="s">
        <v>1808</v>
      </c>
      <c r="N99" s="62">
        <v>0.70600797477996713</v>
      </c>
      <c r="O99" s="62" t="s">
        <v>1808</v>
      </c>
      <c r="P99" s="62">
        <v>41.543680114027843</v>
      </c>
      <c r="Q99" s="62" t="s">
        <v>1908</v>
      </c>
      <c r="R99" s="62">
        <v>429.76298029055283</v>
      </c>
      <c r="S99" s="62" t="s">
        <v>1808</v>
      </c>
      <c r="T99" s="62">
        <v>0.8709440263524828</v>
      </c>
      <c r="U99" s="62" t="s">
        <v>1807</v>
      </c>
      <c r="V99" s="62">
        <v>461.90121708719221</v>
      </c>
      <c r="W99" s="10" t="s">
        <v>1808</v>
      </c>
    </row>
    <row r="100" spans="2:23" ht="21.75" customHeight="1" x14ac:dyDescent="0.25">
      <c r="B100" s="16" t="s">
        <v>1348</v>
      </c>
      <c r="C100" s="18">
        <v>500</v>
      </c>
      <c r="D100" s="62">
        <v>42.352446271507269</v>
      </c>
      <c r="E100" s="62" t="s">
        <v>1807</v>
      </c>
      <c r="F100" s="62">
        <v>98.703113379199749</v>
      </c>
      <c r="G100" s="62" t="s">
        <v>1808</v>
      </c>
      <c r="H100" s="62">
        <v>66.197105383052076</v>
      </c>
      <c r="I100" s="62" t="s">
        <v>1807</v>
      </c>
      <c r="J100" s="62">
        <v>167.13501817052986</v>
      </c>
      <c r="K100" s="62" t="s">
        <v>1807</v>
      </c>
      <c r="L100" s="62">
        <v>0.88433695479947361</v>
      </c>
      <c r="M100" s="62" t="s">
        <v>1808</v>
      </c>
      <c r="N100" s="62">
        <v>0.66164982051403631</v>
      </c>
      <c r="O100" s="62" t="s">
        <v>1808</v>
      </c>
      <c r="P100" s="62">
        <v>18.639167008505204</v>
      </c>
      <c r="Q100" s="62" t="s">
        <v>1908</v>
      </c>
      <c r="R100" s="62">
        <v>536.9377080753377</v>
      </c>
      <c r="S100" s="62" t="s">
        <v>1808</v>
      </c>
      <c r="T100" s="62">
        <v>0.12222822102048073</v>
      </c>
      <c r="U100" s="62" t="s">
        <v>1908</v>
      </c>
      <c r="V100" s="62">
        <v>34.514765540529694</v>
      </c>
      <c r="W100" s="10" t="s">
        <v>1807</v>
      </c>
    </row>
    <row r="101" spans="2:23" ht="21.75" customHeight="1" x14ac:dyDescent="0.25">
      <c r="B101" s="16" t="s">
        <v>1349</v>
      </c>
      <c r="C101" s="17">
        <v>100</v>
      </c>
      <c r="D101" s="62">
        <v>9.3662452602465169</v>
      </c>
      <c r="E101" s="62" t="s">
        <v>1908</v>
      </c>
      <c r="F101" s="62">
        <v>87.168993333137578</v>
      </c>
      <c r="G101" s="62" t="s">
        <v>1808</v>
      </c>
      <c r="H101" s="62">
        <v>79.224684327038247</v>
      </c>
      <c r="I101" s="62" t="s">
        <v>1808</v>
      </c>
      <c r="J101" s="62">
        <v>140.20986910587729</v>
      </c>
      <c r="K101" s="62" t="s">
        <v>1807</v>
      </c>
      <c r="L101" s="62">
        <v>1.2122260394394095</v>
      </c>
      <c r="M101" s="62" t="s">
        <v>1807</v>
      </c>
      <c r="N101" s="62">
        <v>0.18591134860523928</v>
      </c>
      <c r="O101" s="62" t="s">
        <v>1807</v>
      </c>
      <c r="P101" s="62">
        <v>0.98945440426062137</v>
      </c>
      <c r="Q101" s="62" t="s">
        <v>1908</v>
      </c>
      <c r="R101" s="62">
        <v>98.579794069733126</v>
      </c>
      <c r="S101" s="62" t="s">
        <v>1808</v>
      </c>
      <c r="T101" s="62">
        <v>3.9603564197248683E-2</v>
      </c>
      <c r="U101" s="62" t="s">
        <v>1908</v>
      </c>
      <c r="V101" s="62">
        <v>29.963156968983217</v>
      </c>
      <c r="W101" s="10" t="s">
        <v>1807</v>
      </c>
    </row>
    <row r="102" spans="2:23" ht="21.75" customHeight="1" x14ac:dyDescent="0.25">
      <c r="B102" s="16" t="s">
        <v>1349</v>
      </c>
      <c r="C102" s="18">
        <v>200</v>
      </c>
      <c r="D102" s="62">
        <v>27.18340948742388</v>
      </c>
      <c r="E102" s="62" t="s">
        <v>1807</v>
      </c>
      <c r="F102" s="62">
        <v>19.529106094338392</v>
      </c>
      <c r="G102" s="62" t="s">
        <v>1807</v>
      </c>
      <c r="H102" s="62">
        <v>31.759028422611539</v>
      </c>
      <c r="I102" s="62" t="s">
        <v>1807</v>
      </c>
      <c r="J102" s="62">
        <v>88.662838628744595</v>
      </c>
      <c r="K102" s="62" t="s">
        <v>1807</v>
      </c>
      <c r="L102" s="62">
        <v>1.190277726509634</v>
      </c>
      <c r="M102" s="62" t="s">
        <v>1807</v>
      </c>
      <c r="N102" s="62">
        <v>0.25052600983770151</v>
      </c>
      <c r="O102" s="62" t="s">
        <v>1807</v>
      </c>
      <c r="P102" s="62">
        <v>16.938535990935865</v>
      </c>
      <c r="Q102" s="62" t="s">
        <v>1908</v>
      </c>
      <c r="R102" s="62">
        <v>191.39298891058519</v>
      </c>
      <c r="S102" s="62" t="s">
        <v>1808</v>
      </c>
      <c r="T102" s="62">
        <v>8.8690741712091542E-2</v>
      </c>
      <c r="U102" s="62" t="s">
        <v>1908</v>
      </c>
      <c r="V102" s="62">
        <v>17.549985311548884</v>
      </c>
      <c r="W102" s="10" t="s">
        <v>1807</v>
      </c>
    </row>
    <row r="103" spans="2:23" ht="21.75" customHeight="1" x14ac:dyDescent="0.25">
      <c r="B103" s="16" t="s">
        <v>1349</v>
      </c>
      <c r="C103" s="17">
        <v>300</v>
      </c>
      <c r="D103" s="62">
        <v>11.728318176054065</v>
      </c>
      <c r="E103" s="62" t="s">
        <v>1908</v>
      </c>
      <c r="F103" s="62">
        <v>33.408942431443187</v>
      </c>
      <c r="G103" s="62" t="s">
        <v>1807</v>
      </c>
      <c r="H103" s="62">
        <v>41.964152247765959</v>
      </c>
      <c r="I103" s="62" t="s">
        <v>1807</v>
      </c>
      <c r="J103" s="62">
        <v>84.10506313636364</v>
      </c>
      <c r="K103" s="62" t="s">
        <v>1807</v>
      </c>
      <c r="L103" s="62">
        <v>1.4118839072669183</v>
      </c>
      <c r="M103" s="62" t="s">
        <v>1808</v>
      </c>
      <c r="N103" s="62">
        <v>0.30342237167826941</v>
      </c>
      <c r="O103" s="62" t="s">
        <v>1807</v>
      </c>
      <c r="P103" s="62">
        <v>16.889306032940034</v>
      </c>
      <c r="Q103" s="62" t="s">
        <v>1908</v>
      </c>
      <c r="R103" s="62">
        <v>259.70726512313439</v>
      </c>
      <c r="S103" s="62" t="s">
        <v>1808</v>
      </c>
      <c r="T103" s="62">
        <v>7.0089155175783707E-2</v>
      </c>
      <c r="U103" s="62" t="s">
        <v>1908</v>
      </c>
      <c r="V103" s="62">
        <v>16.947805174160237</v>
      </c>
      <c r="W103" s="10" t="s">
        <v>1807</v>
      </c>
    </row>
    <row r="104" spans="2:23" ht="21.75" customHeight="1" x14ac:dyDescent="0.25">
      <c r="B104" s="16" t="s">
        <v>1349</v>
      </c>
      <c r="C104" s="18">
        <v>400</v>
      </c>
      <c r="D104" s="62">
        <v>34.990808235064982</v>
      </c>
      <c r="E104" s="62" t="s">
        <v>1807</v>
      </c>
      <c r="F104" s="62">
        <v>48.837434610869543</v>
      </c>
      <c r="G104" s="62" t="s">
        <v>1808</v>
      </c>
      <c r="H104" s="62">
        <v>27.00495624739553</v>
      </c>
      <c r="I104" s="62" t="s">
        <v>1807</v>
      </c>
      <c r="J104" s="62">
        <v>65.741846638642173</v>
      </c>
      <c r="K104" s="62" t="s">
        <v>1908</v>
      </c>
      <c r="L104" s="62">
        <v>1.8058534766467655</v>
      </c>
      <c r="M104" s="62" t="s">
        <v>1808</v>
      </c>
      <c r="N104" s="62">
        <v>0.35723398077474044</v>
      </c>
      <c r="O104" s="62" t="s">
        <v>1807</v>
      </c>
      <c r="P104" s="62">
        <v>0.92882865934267966</v>
      </c>
      <c r="Q104" s="62" t="s">
        <v>1908</v>
      </c>
      <c r="R104" s="62">
        <v>316.31877899703278</v>
      </c>
      <c r="S104" s="62" t="s">
        <v>1808</v>
      </c>
      <c r="T104" s="62">
        <v>6.9542845011632229E-2</v>
      </c>
      <c r="U104" s="62" t="s">
        <v>1908</v>
      </c>
      <c r="V104" s="62">
        <v>15.339565685421725</v>
      </c>
      <c r="W104" s="10" t="s">
        <v>1908</v>
      </c>
    </row>
    <row r="105" spans="2:23" ht="21.75" customHeight="1" x14ac:dyDescent="0.25">
      <c r="B105" s="16" t="s">
        <v>1349</v>
      </c>
      <c r="C105" s="18">
        <v>500</v>
      </c>
      <c r="D105" s="62">
        <v>33.344818842445427</v>
      </c>
      <c r="E105" s="62" t="s">
        <v>1807</v>
      </c>
      <c r="F105" s="62">
        <v>63.137310286261339</v>
      </c>
      <c r="G105" s="62" t="s">
        <v>1808</v>
      </c>
      <c r="H105" s="62">
        <v>86.856121930594867</v>
      </c>
      <c r="I105" s="62" t="s">
        <v>1808</v>
      </c>
      <c r="J105" s="62">
        <v>157.82839999534025</v>
      </c>
      <c r="K105" s="62" t="s">
        <v>1807</v>
      </c>
      <c r="L105" s="62">
        <v>2.1208176143988218</v>
      </c>
      <c r="M105" s="62" t="s">
        <v>1808</v>
      </c>
      <c r="N105" s="62">
        <v>0.36100639605755092</v>
      </c>
      <c r="O105" s="62" t="s">
        <v>1807</v>
      </c>
      <c r="P105" s="62">
        <v>0.98721201885214149</v>
      </c>
      <c r="Q105" s="62" t="s">
        <v>1908</v>
      </c>
      <c r="R105" s="62">
        <v>318.03295093796061</v>
      </c>
      <c r="S105" s="62" t="s">
        <v>1808</v>
      </c>
      <c r="T105" s="62">
        <v>0.23253745555704081</v>
      </c>
      <c r="U105" s="62" t="s">
        <v>1908</v>
      </c>
      <c r="V105" s="62">
        <v>33.860801049068328</v>
      </c>
      <c r="W105" s="10" t="s">
        <v>1807</v>
      </c>
    </row>
    <row r="106" spans="2:23" ht="21.75" customHeight="1" x14ac:dyDescent="0.25">
      <c r="B106" s="16" t="s">
        <v>1350</v>
      </c>
      <c r="C106" s="17">
        <v>100</v>
      </c>
      <c r="D106" s="62">
        <v>1.0776434609289787</v>
      </c>
      <c r="E106" s="54" t="s">
        <v>1908</v>
      </c>
      <c r="F106" s="62">
        <v>2763.5069167123847</v>
      </c>
      <c r="G106" s="54" t="s">
        <v>1808</v>
      </c>
      <c r="H106" s="62">
        <v>3764.7761638812481</v>
      </c>
      <c r="I106" s="54" t="s">
        <v>1808</v>
      </c>
      <c r="J106" s="62">
        <v>11041.208523729667</v>
      </c>
      <c r="K106" s="54" t="s">
        <v>1808</v>
      </c>
      <c r="L106" s="62">
        <v>3.2225081306381091</v>
      </c>
      <c r="M106" s="54" t="s">
        <v>1808</v>
      </c>
      <c r="N106" s="62">
        <v>1.2625039636800395</v>
      </c>
      <c r="O106" s="54" t="s">
        <v>1808</v>
      </c>
      <c r="P106" s="62">
        <v>226.09499085186479</v>
      </c>
      <c r="Q106" s="54" t="s">
        <v>1808</v>
      </c>
      <c r="R106" s="62">
        <v>137.12966464623636</v>
      </c>
      <c r="S106" s="54" t="s">
        <v>1808</v>
      </c>
      <c r="T106" s="62">
        <v>23.39840145425557</v>
      </c>
      <c r="U106" s="54" t="s">
        <v>1808</v>
      </c>
      <c r="V106" s="62">
        <v>3258.4971216393415</v>
      </c>
      <c r="W106" s="10" t="s">
        <v>1808</v>
      </c>
    </row>
    <row r="107" spans="2:23" ht="21.75" customHeight="1" x14ac:dyDescent="0.25">
      <c r="B107" s="16" t="s">
        <v>1351</v>
      </c>
      <c r="C107" s="18">
        <v>200</v>
      </c>
      <c r="D107" s="62">
        <v>35.694086638297016</v>
      </c>
      <c r="E107" s="54" t="s">
        <v>1807</v>
      </c>
      <c r="F107" s="62">
        <v>7096.0588522424086</v>
      </c>
      <c r="G107" s="54" t="s">
        <v>1808</v>
      </c>
      <c r="H107" s="62">
        <v>7420.4462254984874</v>
      </c>
      <c r="I107" s="54" t="s">
        <v>1808</v>
      </c>
      <c r="J107" s="62">
        <v>25459.677402365764</v>
      </c>
      <c r="K107" s="54" t="s">
        <v>1808</v>
      </c>
      <c r="L107" s="62">
        <v>4.302024308863837</v>
      </c>
      <c r="M107" s="54" t="s">
        <v>1808</v>
      </c>
      <c r="N107" s="62">
        <v>3.0201153038059552</v>
      </c>
      <c r="O107" s="54" t="s">
        <v>1808</v>
      </c>
      <c r="P107" s="62">
        <v>498.64393526862665</v>
      </c>
      <c r="Q107" s="54" t="s">
        <v>1808</v>
      </c>
      <c r="R107" s="62">
        <v>401.77577516017766</v>
      </c>
      <c r="S107" s="54" t="s">
        <v>1808</v>
      </c>
      <c r="T107" s="62">
        <v>46.223183009495685</v>
      </c>
      <c r="U107" s="54" t="s">
        <v>1808</v>
      </c>
      <c r="V107" s="62">
        <v>7228.6155465153388</v>
      </c>
      <c r="W107" s="10" t="s">
        <v>1808</v>
      </c>
    </row>
    <row r="108" spans="2:23" ht="21.75" customHeight="1" x14ac:dyDescent="0.25">
      <c r="B108" s="24" t="s">
        <v>1351</v>
      </c>
      <c r="C108" s="17">
        <v>300</v>
      </c>
      <c r="D108" s="62">
        <v>59.077927252867113</v>
      </c>
      <c r="E108" s="54" t="s">
        <v>1807</v>
      </c>
      <c r="F108" s="62">
        <v>2975.5455399824605</v>
      </c>
      <c r="G108" s="54" t="s">
        <v>1808</v>
      </c>
      <c r="H108" s="62">
        <v>4838.3494490631292</v>
      </c>
      <c r="I108" s="54" t="s">
        <v>1808</v>
      </c>
      <c r="J108" s="62">
        <v>12082.758560540557</v>
      </c>
      <c r="K108" s="54" t="s">
        <v>1808</v>
      </c>
      <c r="L108" s="62">
        <v>4.3196961841302874</v>
      </c>
      <c r="M108" s="54" t="s">
        <v>1808</v>
      </c>
      <c r="N108" s="62">
        <v>1.4449124551176857</v>
      </c>
      <c r="O108" s="54" t="s">
        <v>1808</v>
      </c>
      <c r="P108" s="62">
        <v>213.74084843281724</v>
      </c>
      <c r="Q108" s="54" t="s">
        <v>1808</v>
      </c>
      <c r="R108" s="62">
        <v>254.98535136142254</v>
      </c>
      <c r="S108" s="54" t="s">
        <v>1808</v>
      </c>
      <c r="T108" s="62">
        <v>18.52581120284243</v>
      </c>
      <c r="U108" s="54" t="s">
        <v>1808</v>
      </c>
      <c r="V108" s="62">
        <v>3357.6829875932603</v>
      </c>
      <c r="W108" s="10" t="s">
        <v>1808</v>
      </c>
    </row>
    <row r="109" spans="2:23" ht="21.75" customHeight="1" x14ac:dyDescent="0.25">
      <c r="B109" s="24" t="s">
        <v>1351</v>
      </c>
      <c r="C109" s="18">
        <v>400</v>
      </c>
      <c r="D109" s="62">
        <v>34.125166514027242</v>
      </c>
      <c r="E109" s="54" t="s">
        <v>1807</v>
      </c>
      <c r="F109" s="62">
        <v>869.66132324280977</v>
      </c>
      <c r="G109" s="54" t="s">
        <v>1808</v>
      </c>
      <c r="H109" s="62">
        <v>2512.0190324104728</v>
      </c>
      <c r="I109" s="54" t="s">
        <v>1808</v>
      </c>
      <c r="J109" s="62">
        <v>4085.0092740494511</v>
      </c>
      <c r="K109" s="54" t="s">
        <v>1808</v>
      </c>
      <c r="L109" s="62">
        <v>4.0616323596714174</v>
      </c>
      <c r="M109" s="54" t="s">
        <v>1808</v>
      </c>
      <c r="N109" s="62">
        <v>0.57594107385281701</v>
      </c>
      <c r="O109" s="54" t="s">
        <v>1808</v>
      </c>
      <c r="P109" s="62">
        <v>63.313929254090262</v>
      </c>
      <c r="Q109" s="54" t="s">
        <v>1807</v>
      </c>
      <c r="R109" s="62">
        <v>190.66739244836333</v>
      </c>
      <c r="S109" s="54" t="s">
        <v>1808</v>
      </c>
      <c r="T109" s="62">
        <v>6.0558021726748041</v>
      </c>
      <c r="U109" s="54" t="s">
        <v>1808</v>
      </c>
      <c r="V109" s="62">
        <v>1210.436884064799</v>
      </c>
      <c r="W109" s="10" t="s">
        <v>1808</v>
      </c>
    </row>
    <row r="110" spans="2:23" ht="21.75" customHeight="1" x14ac:dyDescent="0.25">
      <c r="B110" s="24" t="s">
        <v>1350</v>
      </c>
      <c r="C110" s="18">
        <v>500</v>
      </c>
      <c r="D110" s="62">
        <v>10.406871728598578</v>
      </c>
      <c r="E110" s="54" t="s">
        <v>1807</v>
      </c>
      <c r="F110" s="62">
        <v>305.97442582810135</v>
      </c>
      <c r="G110" s="54" t="s">
        <v>1808</v>
      </c>
      <c r="H110" s="62">
        <v>650.13322284441153</v>
      </c>
      <c r="I110" s="54" t="s">
        <v>1808</v>
      </c>
      <c r="J110" s="62">
        <v>1132.7374651766077</v>
      </c>
      <c r="K110" s="54" t="s">
        <v>1808</v>
      </c>
      <c r="L110" s="62">
        <v>2.7656812336635355</v>
      </c>
      <c r="M110" s="54" t="s">
        <v>1808</v>
      </c>
      <c r="N110" s="62">
        <v>0.22706204686356121</v>
      </c>
      <c r="O110" s="54" t="s">
        <v>1808</v>
      </c>
      <c r="P110" s="62">
        <v>27.108010036597797</v>
      </c>
      <c r="Q110" s="54" t="s">
        <v>1807</v>
      </c>
      <c r="R110" s="62">
        <v>108.63836781204344</v>
      </c>
      <c r="S110" s="54" t="s">
        <v>1808</v>
      </c>
      <c r="T110" s="62">
        <v>1.601341039784606</v>
      </c>
      <c r="U110" s="54" t="s">
        <v>1808</v>
      </c>
      <c r="V110" s="62">
        <v>390.76308738882346</v>
      </c>
      <c r="W110" s="10" t="s">
        <v>1808</v>
      </c>
    </row>
    <row r="111" spans="2:23" ht="21.75" customHeight="1" x14ac:dyDescent="0.25">
      <c r="B111" s="24" t="s">
        <v>1352</v>
      </c>
      <c r="C111" s="18">
        <v>100</v>
      </c>
      <c r="D111" s="62">
        <v>5.6972750108374415</v>
      </c>
      <c r="E111" s="54" t="s">
        <v>1908</v>
      </c>
      <c r="F111" s="62">
        <v>1811.0026329090981</v>
      </c>
      <c r="G111" s="54" t="s">
        <v>1808</v>
      </c>
      <c r="H111" s="62">
        <v>7213.3682688702511</v>
      </c>
      <c r="I111" s="54" t="s">
        <v>1808</v>
      </c>
      <c r="J111" s="62">
        <v>25291.57856678102</v>
      </c>
      <c r="K111" s="54" t="s">
        <v>1808</v>
      </c>
      <c r="L111" s="62">
        <v>2.5716538808152571</v>
      </c>
      <c r="M111" s="54" t="s">
        <v>1808</v>
      </c>
      <c r="N111" s="62">
        <v>1.6765609003794086</v>
      </c>
      <c r="O111" s="54" t="s">
        <v>1808</v>
      </c>
      <c r="P111" s="62">
        <v>353.93317164822673</v>
      </c>
      <c r="Q111" s="54" t="s">
        <v>1808</v>
      </c>
      <c r="R111" s="62">
        <v>201.78157325995875</v>
      </c>
      <c r="S111" s="54" t="s">
        <v>1808</v>
      </c>
      <c r="T111" s="62">
        <v>104.65534405636122</v>
      </c>
      <c r="U111" s="54" t="s">
        <v>1808</v>
      </c>
      <c r="V111" s="62">
        <v>6907.4559923215884</v>
      </c>
      <c r="W111" s="10" t="s">
        <v>1808</v>
      </c>
    </row>
    <row r="112" spans="2:23" ht="21.75" customHeight="1" x14ac:dyDescent="0.25">
      <c r="B112" s="24" t="s">
        <v>1352</v>
      </c>
      <c r="C112" s="17">
        <v>200</v>
      </c>
      <c r="D112" s="62">
        <v>15.7468919741722</v>
      </c>
      <c r="E112" s="54" t="s">
        <v>1908</v>
      </c>
      <c r="F112" s="62">
        <v>1028.0020487757336</v>
      </c>
      <c r="G112" s="54" t="s">
        <v>1808</v>
      </c>
      <c r="H112" s="62">
        <v>4574.3443166554071</v>
      </c>
      <c r="I112" s="54" t="s">
        <v>1808</v>
      </c>
      <c r="J112" s="62">
        <v>14012.27957199788</v>
      </c>
      <c r="K112" s="54" t="s">
        <v>1808</v>
      </c>
      <c r="L112" s="62">
        <v>2.6473029205858962</v>
      </c>
      <c r="M112" s="54" t="s">
        <v>1808</v>
      </c>
      <c r="N112" s="62">
        <v>1.01068901760343</v>
      </c>
      <c r="O112" s="54" t="s">
        <v>1808</v>
      </c>
      <c r="P112" s="62">
        <v>176.08624056262965</v>
      </c>
      <c r="Q112" s="54" t="s">
        <v>1808</v>
      </c>
      <c r="R112" s="62">
        <v>189.02352149328559</v>
      </c>
      <c r="S112" s="54" t="s">
        <v>1808</v>
      </c>
      <c r="T112" s="62">
        <v>46.51873292151317</v>
      </c>
      <c r="U112" s="54" t="s">
        <v>1808</v>
      </c>
      <c r="V112" s="62">
        <v>3717.5155156981164</v>
      </c>
      <c r="W112" s="10" t="s">
        <v>1808</v>
      </c>
    </row>
    <row r="113" spans="2:23" ht="21.75" customHeight="1" x14ac:dyDescent="0.25">
      <c r="B113" s="24" t="s">
        <v>1352</v>
      </c>
      <c r="C113" s="18">
        <v>300</v>
      </c>
      <c r="D113" s="62">
        <v>38.415627861152821</v>
      </c>
      <c r="E113" s="54" t="s">
        <v>1808</v>
      </c>
      <c r="F113" s="62">
        <v>329.44643709096766</v>
      </c>
      <c r="G113" s="54" t="s">
        <v>1808</v>
      </c>
      <c r="H113" s="62">
        <v>1305.6890021010604</v>
      </c>
      <c r="I113" s="54" t="s">
        <v>1808</v>
      </c>
      <c r="J113" s="62">
        <v>4727.1000783457239</v>
      </c>
      <c r="K113" s="54" t="s">
        <v>1808</v>
      </c>
      <c r="L113" s="62">
        <v>2.4185917493594253</v>
      </c>
      <c r="M113" s="54" t="s">
        <v>1808</v>
      </c>
      <c r="N113" s="62">
        <v>0.43499237998098972</v>
      </c>
      <c r="O113" s="54" t="s">
        <v>1808</v>
      </c>
      <c r="P113" s="62">
        <v>52.635922176405813</v>
      </c>
      <c r="Q113" s="54" t="s">
        <v>1807</v>
      </c>
      <c r="R113" s="62">
        <v>165.39417546766921</v>
      </c>
      <c r="S113" s="54" t="s">
        <v>1808</v>
      </c>
      <c r="T113" s="62">
        <v>13.837174282364192</v>
      </c>
      <c r="U113" s="54" t="s">
        <v>1808</v>
      </c>
      <c r="V113" s="62">
        <v>1429.2837341864797</v>
      </c>
      <c r="W113" s="10" t="s">
        <v>1808</v>
      </c>
    </row>
    <row r="114" spans="2:23" ht="21.75" customHeight="1" x14ac:dyDescent="0.25">
      <c r="B114" s="24" t="s">
        <v>1352</v>
      </c>
      <c r="C114" s="18">
        <v>400</v>
      </c>
      <c r="D114" s="62">
        <v>2.2727428041386379</v>
      </c>
      <c r="E114" s="54" t="s">
        <v>1908</v>
      </c>
      <c r="F114" s="62">
        <v>66.881835027992665</v>
      </c>
      <c r="G114" s="54" t="s">
        <v>1808</v>
      </c>
      <c r="H114" s="62">
        <v>238.55852310557509</v>
      </c>
      <c r="I114" s="54" t="s">
        <v>1808</v>
      </c>
      <c r="J114" s="62">
        <v>981.56639799935056</v>
      </c>
      <c r="K114" s="54" t="s">
        <v>1808</v>
      </c>
      <c r="L114" s="62">
        <v>1.2491493280869537</v>
      </c>
      <c r="M114" s="54" t="s">
        <v>1808</v>
      </c>
      <c r="N114" s="62">
        <v>0.14274877331996222</v>
      </c>
      <c r="O114" s="54" t="s">
        <v>1808</v>
      </c>
      <c r="P114" s="62">
        <v>6.5879222689913597</v>
      </c>
      <c r="Q114" s="54" t="s">
        <v>1908</v>
      </c>
      <c r="R114" s="62">
        <v>72.032586728988207</v>
      </c>
      <c r="S114" s="54" t="s">
        <v>1808</v>
      </c>
      <c r="T114" s="62">
        <v>3.5310776375140449</v>
      </c>
      <c r="U114" s="54" t="s">
        <v>1808</v>
      </c>
      <c r="V114" s="62">
        <v>522.09944514609936</v>
      </c>
      <c r="W114" s="10" t="s">
        <v>1808</v>
      </c>
    </row>
    <row r="115" spans="2:23" ht="21.75" customHeight="1" x14ac:dyDescent="0.25">
      <c r="B115" s="24" t="s">
        <v>1353</v>
      </c>
      <c r="C115" s="17">
        <v>500</v>
      </c>
      <c r="D115" s="62" t="s">
        <v>1907</v>
      </c>
      <c r="E115" s="54" t="s">
        <v>1808</v>
      </c>
      <c r="F115" s="62">
        <v>10.405126697040044</v>
      </c>
      <c r="G115" s="54" t="s">
        <v>1808</v>
      </c>
      <c r="H115" s="62">
        <v>27.379382838733811</v>
      </c>
      <c r="I115" s="54" t="s">
        <v>1808</v>
      </c>
      <c r="J115" s="62">
        <v>188.55391987709532</v>
      </c>
      <c r="K115" s="54" t="s">
        <v>1808</v>
      </c>
      <c r="L115" s="62">
        <v>0.4567015713431018</v>
      </c>
      <c r="M115" s="54" t="s">
        <v>1808</v>
      </c>
      <c r="N115" s="62">
        <v>3.2855464303560747E-2</v>
      </c>
      <c r="O115" s="54" t="s">
        <v>1807</v>
      </c>
      <c r="P115" s="62" t="s">
        <v>1907</v>
      </c>
      <c r="Q115" s="54" t="s">
        <v>1808</v>
      </c>
      <c r="R115" s="62">
        <v>19.417984933911896</v>
      </c>
      <c r="S115" s="54" t="s">
        <v>1808</v>
      </c>
      <c r="T115" s="62">
        <v>0.5791072201958245</v>
      </c>
      <c r="U115" s="54" t="s">
        <v>1808</v>
      </c>
      <c r="V115" s="62">
        <v>126.60167912295897</v>
      </c>
      <c r="W115" s="10" t="s">
        <v>1808</v>
      </c>
    </row>
    <row r="116" spans="2:23" ht="21.75" customHeight="1" x14ac:dyDescent="0.25">
      <c r="B116" s="24" t="s">
        <v>1354</v>
      </c>
      <c r="C116" s="18">
        <v>100</v>
      </c>
      <c r="D116" s="62" t="s">
        <v>1907</v>
      </c>
      <c r="E116" s="54" t="s">
        <v>1808</v>
      </c>
      <c r="F116" s="62">
        <v>722.77654193113835</v>
      </c>
      <c r="G116" s="54" t="s">
        <v>1808</v>
      </c>
      <c r="H116" s="62">
        <v>5410.5132990193579</v>
      </c>
      <c r="I116" s="54" t="s">
        <v>1808</v>
      </c>
      <c r="J116" s="62">
        <v>18299.331315160369</v>
      </c>
      <c r="K116" s="54" t="s">
        <v>1808</v>
      </c>
      <c r="L116" s="62">
        <v>2.9006741777087051</v>
      </c>
      <c r="M116" s="54" t="s">
        <v>1808</v>
      </c>
      <c r="N116" s="62">
        <v>1.0550100002596468</v>
      </c>
      <c r="O116" s="54" t="s">
        <v>1808</v>
      </c>
      <c r="P116" s="62">
        <v>213.48341794480436</v>
      </c>
      <c r="Q116" s="54" t="s">
        <v>1808</v>
      </c>
      <c r="R116" s="62">
        <v>66.828147074077677</v>
      </c>
      <c r="S116" s="54" t="s">
        <v>1808</v>
      </c>
      <c r="T116" s="62">
        <v>159.42045509282295</v>
      </c>
      <c r="U116" s="54" t="s">
        <v>1808</v>
      </c>
      <c r="V116" s="62">
        <v>4180.1698289764345</v>
      </c>
      <c r="W116" s="10" t="s">
        <v>1808</v>
      </c>
    </row>
    <row r="117" spans="2:23" ht="21.75" customHeight="1" x14ac:dyDescent="0.25">
      <c r="B117" s="24" t="s">
        <v>1355</v>
      </c>
      <c r="C117" s="17">
        <v>200</v>
      </c>
      <c r="D117" s="62" t="s">
        <v>1907</v>
      </c>
      <c r="E117" s="54" t="s">
        <v>1808</v>
      </c>
      <c r="F117" s="62">
        <v>726.32412598124529</v>
      </c>
      <c r="G117" s="54" t="s">
        <v>1808</v>
      </c>
      <c r="H117" s="62">
        <v>4357.8629335621945</v>
      </c>
      <c r="I117" s="54" t="s">
        <v>1808</v>
      </c>
      <c r="J117" s="62">
        <v>16253.005346079999</v>
      </c>
      <c r="K117" s="54" t="s">
        <v>1808</v>
      </c>
      <c r="L117" s="62">
        <v>3.195229501905124</v>
      </c>
      <c r="M117" s="54" t="s">
        <v>1808</v>
      </c>
      <c r="N117" s="62">
        <v>1.0376378372702328</v>
      </c>
      <c r="O117" s="54" t="s">
        <v>1808</v>
      </c>
      <c r="P117" s="62">
        <v>233.40201813124861</v>
      </c>
      <c r="Q117" s="54" t="s">
        <v>1808</v>
      </c>
      <c r="R117" s="62">
        <v>107.69248479579254</v>
      </c>
      <c r="S117" s="54" t="s">
        <v>1808</v>
      </c>
      <c r="T117" s="62">
        <v>149.08801803610046</v>
      </c>
      <c r="U117" s="54" t="s">
        <v>1808</v>
      </c>
      <c r="V117" s="62">
        <v>4084.3020988454691</v>
      </c>
      <c r="W117" s="10" t="s">
        <v>1808</v>
      </c>
    </row>
    <row r="118" spans="2:23" ht="21.75" customHeight="1" x14ac:dyDescent="0.25">
      <c r="B118" s="24" t="s">
        <v>1355</v>
      </c>
      <c r="C118" s="18">
        <v>300</v>
      </c>
      <c r="D118" s="62">
        <v>32.540513109912659</v>
      </c>
      <c r="E118" s="54" t="s">
        <v>1807</v>
      </c>
      <c r="F118" s="62">
        <v>677.95661234209911</v>
      </c>
      <c r="G118" s="54" t="s">
        <v>1808</v>
      </c>
      <c r="H118" s="62">
        <v>2552.7555677217711</v>
      </c>
      <c r="I118" s="54" t="s">
        <v>1808</v>
      </c>
      <c r="J118" s="62">
        <v>8179.3035955981795</v>
      </c>
      <c r="K118" s="54" t="s">
        <v>1808</v>
      </c>
      <c r="L118" s="62">
        <v>2.8964247294123995</v>
      </c>
      <c r="M118" s="54" t="s">
        <v>1808</v>
      </c>
      <c r="N118" s="62">
        <v>0.85790606419218862</v>
      </c>
      <c r="O118" s="54" t="s">
        <v>1808</v>
      </c>
      <c r="P118" s="62">
        <v>206.1468744083661</v>
      </c>
      <c r="Q118" s="54" t="s">
        <v>1808</v>
      </c>
      <c r="R118" s="62">
        <v>73.549215391287376</v>
      </c>
      <c r="S118" s="54" t="s">
        <v>1808</v>
      </c>
      <c r="T118" s="62">
        <v>121.24059801300842</v>
      </c>
      <c r="U118" s="54" t="s">
        <v>1808</v>
      </c>
      <c r="V118" s="62">
        <v>3642.024136085096</v>
      </c>
      <c r="W118" s="10" t="s">
        <v>1808</v>
      </c>
    </row>
    <row r="119" spans="2:23" ht="21.75" customHeight="1" x14ac:dyDescent="0.25">
      <c r="B119" s="24" t="s">
        <v>1355</v>
      </c>
      <c r="C119" s="18">
        <v>400</v>
      </c>
      <c r="D119" s="62">
        <v>18.344115412045163</v>
      </c>
      <c r="E119" s="54" t="s">
        <v>1807</v>
      </c>
      <c r="F119" s="62">
        <v>362.13550611701675</v>
      </c>
      <c r="G119" s="54" t="s">
        <v>1808</v>
      </c>
      <c r="H119" s="62">
        <v>2542.4314817149775</v>
      </c>
      <c r="I119" s="54" t="s">
        <v>1808</v>
      </c>
      <c r="J119" s="62">
        <v>1191.9900079356248</v>
      </c>
      <c r="K119" s="54" t="s">
        <v>1808</v>
      </c>
      <c r="L119" s="62">
        <v>2.9601823652094605</v>
      </c>
      <c r="M119" s="54" t="s">
        <v>1808</v>
      </c>
      <c r="N119" s="62">
        <v>0.44763842085949535</v>
      </c>
      <c r="O119" s="54" t="s">
        <v>1808</v>
      </c>
      <c r="P119" s="62">
        <v>100.8969410495893</v>
      </c>
      <c r="Q119" s="54" t="s">
        <v>1807</v>
      </c>
      <c r="R119" s="62">
        <v>49.942553122096093</v>
      </c>
      <c r="S119" s="54" t="s">
        <v>1808</v>
      </c>
      <c r="T119" s="62">
        <v>54.350661947828392</v>
      </c>
      <c r="U119" s="54" t="s">
        <v>1808</v>
      </c>
      <c r="V119" s="62">
        <v>1863.9513954579552</v>
      </c>
      <c r="W119" s="10" t="s">
        <v>1808</v>
      </c>
    </row>
    <row r="120" spans="2:23" ht="21.75" customHeight="1" x14ac:dyDescent="0.25">
      <c r="B120" s="24" t="s">
        <v>1355</v>
      </c>
      <c r="C120" s="17">
        <v>500</v>
      </c>
      <c r="D120" s="62" t="s">
        <v>1907</v>
      </c>
      <c r="E120" s="54" t="s">
        <v>1808</v>
      </c>
      <c r="F120" s="62">
        <v>97.065491899194541</v>
      </c>
      <c r="G120" s="54" t="s">
        <v>1808</v>
      </c>
      <c r="H120" s="62">
        <v>524.92563572639813</v>
      </c>
      <c r="I120" s="54" t="s">
        <v>1808</v>
      </c>
      <c r="J120" s="62">
        <v>2203.032408546419</v>
      </c>
      <c r="K120" s="54" t="s">
        <v>1808</v>
      </c>
      <c r="L120" s="62">
        <v>0.85633451452734632</v>
      </c>
      <c r="M120" s="54" t="s">
        <v>1808</v>
      </c>
      <c r="N120" s="62">
        <v>8.6567914351774813E-2</v>
      </c>
      <c r="O120" s="54" t="s">
        <v>1807</v>
      </c>
      <c r="P120" s="62">
        <v>27.560277471017098</v>
      </c>
      <c r="Q120" s="54" t="s">
        <v>1807</v>
      </c>
      <c r="R120" s="62">
        <v>15.705082921662456</v>
      </c>
      <c r="S120" s="54" t="s">
        <v>1808</v>
      </c>
      <c r="T120" s="62">
        <v>13.877613485532242</v>
      </c>
      <c r="U120" s="54" t="s">
        <v>1808</v>
      </c>
      <c r="V120" s="62">
        <v>542.04174823992753</v>
      </c>
      <c r="W120" s="10" t="s">
        <v>1808</v>
      </c>
    </row>
    <row r="121" spans="2:23" ht="21.75" customHeight="1" x14ac:dyDescent="0.25">
      <c r="B121" s="24" t="s">
        <v>1356</v>
      </c>
      <c r="C121" s="18">
        <v>100</v>
      </c>
      <c r="D121" s="62">
        <v>1.8707019195347632</v>
      </c>
      <c r="E121" s="54" t="s">
        <v>1908</v>
      </c>
      <c r="F121" s="62">
        <v>835.12738578897688</v>
      </c>
      <c r="G121" s="54" t="s">
        <v>1808</v>
      </c>
      <c r="H121" s="62">
        <v>15141.507048286829</v>
      </c>
      <c r="I121" s="54" t="s">
        <v>1808</v>
      </c>
      <c r="J121" s="62">
        <v>30593.214421627152</v>
      </c>
      <c r="K121" s="54" t="s">
        <v>1808</v>
      </c>
      <c r="L121" s="62">
        <v>3.7345922421796915</v>
      </c>
      <c r="M121" s="54" t="s">
        <v>1808</v>
      </c>
      <c r="N121" s="62">
        <v>3.3582217235265355</v>
      </c>
      <c r="O121" s="54" t="s">
        <v>1808</v>
      </c>
      <c r="P121" s="62">
        <v>464.80207929081956</v>
      </c>
      <c r="Q121" s="54" t="s">
        <v>1808</v>
      </c>
      <c r="R121" s="62">
        <v>69.341145026109018</v>
      </c>
      <c r="S121" s="54" t="s">
        <v>1808</v>
      </c>
      <c r="T121" s="62">
        <v>105.59676547693297</v>
      </c>
      <c r="U121" s="54" t="s">
        <v>1808</v>
      </c>
      <c r="V121" s="62">
        <v>9181.22808608388</v>
      </c>
      <c r="W121" s="10" t="s">
        <v>1808</v>
      </c>
    </row>
    <row r="122" spans="2:23" ht="21.75" customHeight="1" x14ac:dyDescent="0.25">
      <c r="B122" s="24" t="s">
        <v>1356</v>
      </c>
      <c r="C122" s="17">
        <v>200</v>
      </c>
      <c r="D122" s="62">
        <v>55.855513377254141</v>
      </c>
      <c r="E122" s="54" t="s">
        <v>1807</v>
      </c>
      <c r="F122" s="62">
        <v>1384.3212620596419</v>
      </c>
      <c r="G122" s="54" t="s">
        <v>1808</v>
      </c>
      <c r="H122" s="62">
        <v>19505.865941011099</v>
      </c>
      <c r="I122" s="54" t="s">
        <v>1808</v>
      </c>
      <c r="J122" s="62">
        <v>55690.545028624954</v>
      </c>
      <c r="K122" s="54" t="s">
        <v>1808</v>
      </c>
      <c r="L122" s="62">
        <v>5.1177116099223356</v>
      </c>
      <c r="M122" s="54" t="s">
        <v>1808</v>
      </c>
      <c r="N122" s="62">
        <v>6.7146593355299933</v>
      </c>
      <c r="O122" s="54" t="s">
        <v>1808</v>
      </c>
      <c r="P122" s="62">
        <v>755.86073075546324</v>
      </c>
      <c r="Q122" s="54" t="s">
        <v>1808</v>
      </c>
      <c r="R122" s="62">
        <v>143.32375842231812</v>
      </c>
      <c r="S122" s="54" t="s">
        <v>1808</v>
      </c>
      <c r="T122" s="62">
        <v>146.95143632465741</v>
      </c>
      <c r="U122" s="54" t="s">
        <v>1808</v>
      </c>
      <c r="V122" s="62">
        <v>17716.130152683036</v>
      </c>
      <c r="W122" s="10" t="s">
        <v>1808</v>
      </c>
    </row>
    <row r="123" spans="2:23" ht="21.75" customHeight="1" x14ac:dyDescent="0.25">
      <c r="B123" s="24" t="s">
        <v>1356</v>
      </c>
      <c r="C123" s="18">
        <v>300</v>
      </c>
      <c r="D123" s="62">
        <v>13.711068468015439</v>
      </c>
      <c r="E123" s="54" t="s">
        <v>1908</v>
      </c>
      <c r="F123" s="62">
        <v>462.74292192176949</v>
      </c>
      <c r="G123" s="54" t="s">
        <v>1808</v>
      </c>
      <c r="H123" s="62">
        <v>6933.2070177301093</v>
      </c>
      <c r="I123" s="54" t="s">
        <v>1808</v>
      </c>
      <c r="J123" s="62">
        <v>17644.681423628335</v>
      </c>
      <c r="K123" s="54" t="s">
        <v>1808</v>
      </c>
      <c r="L123" s="62">
        <v>5.3709757567518936</v>
      </c>
      <c r="M123" s="54" t="s">
        <v>1808</v>
      </c>
      <c r="N123" s="62">
        <v>5.7014027336874769</v>
      </c>
      <c r="O123" s="54" t="s">
        <v>1808</v>
      </c>
      <c r="P123" s="62">
        <v>222.23030758438571</v>
      </c>
      <c r="Q123" s="54" t="s">
        <v>1808</v>
      </c>
      <c r="R123" s="62">
        <v>96.394782303988237</v>
      </c>
      <c r="S123" s="54" t="s">
        <v>1808</v>
      </c>
      <c r="T123" s="62">
        <v>50.1028797320226</v>
      </c>
      <c r="U123" s="54" t="s">
        <v>1808</v>
      </c>
      <c r="V123" s="62">
        <v>6343.3768486211538</v>
      </c>
      <c r="W123" s="10" t="s">
        <v>1808</v>
      </c>
    </row>
    <row r="124" spans="2:23" ht="21.75" customHeight="1" x14ac:dyDescent="0.25">
      <c r="B124" s="24" t="s">
        <v>1356</v>
      </c>
      <c r="C124" s="18">
        <v>400</v>
      </c>
      <c r="D124" s="62" t="s">
        <v>1907</v>
      </c>
      <c r="E124" s="54" t="s">
        <v>1808</v>
      </c>
      <c r="F124" s="62">
        <v>43.135992722689465</v>
      </c>
      <c r="G124" s="54" t="s">
        <v>1808</v>
      </c>
      <c r="H124" s="62">
        <v>474.10907493046801</v>
      </c>
      <c r="I124" s="54" t="s">
        <v>1808</v>
      </c>
      <c r="J124" s="62">
        <v>3346.9711765826119</v>
      </c>
      <c r="K124" s="54" t="s">
        <v>1808</v>
      </c>
      <c r="L124" s="62">
        <v>2.485247143241446</v>
      </c>
      <c r="M124" s="54" t="s">
        <v>1808</v>
      </c>
      <c r="N124" s="62">
        <v>2.9017149593890998</v>
      </c>
      <c r="O124" s="54" t="s">
        <v>1808</v>
      </c>
      <c r="P124" s="62">
        <v>66.173518905707823</v>
      </c>
      <c r="Q124" s="54" t="s">
        <v>1807</v>
      </c>
      <c r="R124" s="62">
        <v>35.26936340326646</v>
      </c>
      <c r="S124" s="54" t="s">
        <v>1808</v>
      </c>
      <c r="T124" s="62">
        <v>58.936617306494476</v>
      </c>
      <c r="U124" s="54" t="s">
        <v>1808</v>
      </c>
      <c r="V124" s="62">
        <v>4183.2901346937733</v>
      </c>
      <c r="W124" s="10" t="s">
        <v>1808</v>
      </c>
    </row>
    <row r="125" spans="2:23" ht="21.75" customHeight="1" x14ac:dyDescent="0.25">
      <c r="B125" s="24" t="s">
        <v>1357</v>
      </c>
      <c r="C125" s="17">
        <v>500</v>
      </c>
      <c r="D125" s="62" t="s">
        <v>1907</v>
      </c>
      <c r="E125" s="54" t="s">
        <v>1808</v>
      </c>
      <c r="F125" s="62">
        <v>0.82817809764031869</v>
      </c>
      <c r="G125" s="54" t="s">
        <v>1808</v>
      </c>
      <c r="H125" s="62">
        <v>25.75862508710496</v>
      </c>
      <c r="I125" s="54" t="s">
        <v>1808</v>
      </c>
      <c r="J125" s="62">
        <v>212.01339971516094</v>
      </c>
      <c r="K125" s="54" t="s">
        <v>1808</v>
      </c>
      <c r="L125" s="62">
        <v>0.34338043986682848</v>
      </c>
      <c r="M125" s="54" t="s">
        <v>1808</v>
      </c>
      <c r="N125" s="62">
        <v>0.2565457971148552</v>
      </c>
      <c r="O125" s="54" t="s">
        <v>1808</v>
      </c>
      <c r="P125" s="62">
        <v>35.787154314386029</v>
      </c>
      <c r="Q125" s="54" t="s">
        <v>1808</v>
      </c>
      <c r="R125" s="62">
        <v>4.4372883216978076</v>
      </c>
      <c r="S125" s="54" t="s">
        <v>1808</v>
      </c>
      <c r="T125" s="62">
        <v>3.2821199556128784</v>
      </c>
      <c r="U125" s="54" t="s">
        <v>1808</v>
      </c>
      <c r="V125" s="62">
        <v>201.13175543890989</v>
      </c>
      <c r="W125" s="10" t="s">
        <v>1808</v>
      </c>
    </row>
    <row r="126" spans="2:23" ht="21.75" customHeight="1" x14ac:dyDescent="0.25">
      <c r="B126" s="24" t="s">
        <v>1358</v>
      </c>
      <c r="C126" s="18">
        <v>100</v>
      </c>
      <c r="D126" s="62">
        <v>9.3069284859763144</v>
      </c>
      <c r="E126" s="54" t="s">
        <v>1908</v>
      </c>
      <c r="F126" s="62">
        <v>1365.4246469780021</v>
      </c>
      <c r="G126" s="54" t="s">
        <v>1808</v>
      </c>
      <c r="H126" s="62">
        <v>13395.494542115182</v>
      </c>
      <c r="I126" s="54" t="s">
        <v>1808</v>
      </c>
      <c r="J126" s="62">
        <v>34550.970182207711</v>
      </c>
      <c r="K126" s="54" t="s">
        <v>1808</v>
      </c>
      <c r="L126" s="62">
        <v>3.2239307043307068</v>
      </c>
      <c r="M126" s="54" t="s">
        <v>1808</v>
      </c>
      <c r="N126" s="62">
        <v>5.7448848490762634</v>
      </c>
      <c r="O126" s="54" t="s">
        <v>1808</v>
      </c>
      <c r="P126" s="62">
        <v>876.13224329475054</v>
      </c>
      <c r="Q126" s="54" t="s">
        <v>1808</v>
      </c>
      <c r="R126" s="62">
        <v>93.819575764390649</v>
      </c>
      <c r="S126" s="54" t="s">
        <v>1808</v>
      </c>
      <c r="T126" s="62">
        <v>180.69045308563173</v>
      </c>
      <c r="U126" s="54" t="s">
        <v>1808</v>
      </c>
      <c r="V126" s="62">
        <v>22138.643938348352</v>
      </c>
      <c r="W126" s="10" t="s">
        <v>1808</v>
      </c>
    </row>
    <row r="127" spans="2:23" ht="21.75" customHeight="1" x14ac:dyDescent="0.25">
      <c r="B127" s="10" t="s">
        <v>1358</v>
      </c>
      <c r="C127" s="17">
        <v>200</v>
      </c>
      <c r="D127" s="62">
        <v>1.7346068536524193</v>
      </c>
      <c r="E127" s="54" t="s">
        <v>1908</v>
      </c>
      <c r="F127" s="62">
        <v>165.28590249394381</v>
      </c>
      <c r="G127" s="54" t="s">
        <v>1808</v>
      </c>
      <c r="H127" s="62">
        <v>2295.0391867210124</v>
      </c>
      <c r="I127" s="54" t="s">
        <v>1808</v>
      </c>
      <c r="J127" s="62">
        <v>22435.884981310603</v>
      </c>
      <c r="K127" s="54" t="s">
        <v>1808</v>
      </c>
      <c r="L127" s="62">
        <v>2.6953316423696343</v>
      </c>
      <c r="M127" s="54" t="s">
        <v>1808</v>
      </c>
      <c r="N127" s="62">
        <v>11.945475108914653</v>
      </c>
      <c r="O127" s="54" t="s">
        <v>1808</v>
      </c>
      <c r="P127" s="62">
        <v>374.81671809227907</v>
      </c>
      <c r="Q127" s="54" t="s">
        <v>1808</v>
      </c>
      <c r="R127" s="62">
        <v>79.183350554232959</v>
      </c>
      <c r="S127" s="54" t="s">
        <v>1808</v>
      </c>
      <c r="T127" s="62">
        <v>373.13202761406825</v>
      </c>
      <c r="U127" s="54" t="s">
        <v>1808</v>
      </c>
      <c r="V127" s="62">
        <v>12751.722179109727</v>
      </c>
      <c r="W127" s="10" t="s">
        <v>1808</v>
      </c>
    </row>
    <row r="128" spans="2:23" ht="21.75" customHeight="1" x14ac:dyDescent="0.25">
      <c r="B128" s="10" t="s">
        <v>1359</v>
      </c>
      <c r="C128" s="18">
        <v>300</v>
      </c>
      <c r="D128" s="62">
        <v>1.8984614330777729</v>
      </c>
      <c r="E128" s="54" t="s">
        <v>1908</v>
      </c>
      <c r="F128" s="62">
        <v>116.24936033043211</v>
      </c>
      <c r="G128" s="54" t="s">
        <v>1808</v>
      </c>
      <c r="H128" s="62">
        <v>815.16373862836224</v>
      </c>
      <c r="I128" s="54" t="s">
        <v>1808</v>
      </c>
      <c r="J128" s="62">
        <v>12400.089919312055</v>
      </c>
      <c r="K128" s="54" t="s">
        <v>1808</v>
      </c>
      <c r="L128" s="62">
        <v>2.1457986551113168</v>
      </c>
      <c r="M128" s="54" t="s">
        <v>1808</v>
      </c>
      <c r="N128" s="62">
        <v>6.9495296587059423</v>
      </c>
      <c r="O128" s="54" t="s">
        <v>1808</v>
      </c>
      <c r="P128" s="62">
        <v>269.02456969626144</v>
      </c>
      <c r="Q128" s="54" t="s">
        <v>1808</v>
      </c>
      <c r="R128" s="62">
        <v>49.518229750983835</v>
      </c>
      <c r="S128" s="54" t="s">
        <v>1808</v>
      </c>
      <c r="T128" s="62">
        <v>149.1628679150582</v>
      </c>
      <c r="U128" s="54" t="s">
        <v>1808</v>
      </c>
      <c r="V128" s="62">
        <v>6073.9098837258343</v>
      </c>
      <c r="W128" s="10" t="s">
        <v>1808</v>
      </c>
    </row>
    <row r="129" spans="1:23" ht="21.75" customHeight="1" x14ac:dyDescent="0.25">
      <c r="B129" s="10" t="s">
        <v>1358</v>
      </c>
      <c r="C129" s="18">
        <v>400</v>
      </c>
      <c r="D129" s="62">
        <v>8.5684406839663527</v>
      </c>
      <c r="E129" s="54" t="s">
        <v>1807</v>
      </c>
      <c r="F129" s="62">
        <v>35.965152407796374</v>
      </c>
      <c r="G129" s="54" t="s">
        <v>1808</v>
      </c>
      <c r="H129" s="62">
        <v>430.28719426793469</v>
      </c>
      <c r="I129" s="54" t="s">
        <v>1808</v>
      </c>
      <c r="J129" s="62">
        <v>6924.9626887167406</v>
      </c>
      <c r="K129" s="54" t="s">
        <v>1808</v>
      </c>
      <c r="L129" s="62">
        <v>1.2750693080939952</v>
      </c>
      <c r="M129" s="54" t="s">
        <v>1808</v>
      </c>
      <c r="N129" s="62">
        <v>5.1148686079939445</v>
      </c>
      <c r="O129" s="54" t="s">
        <v>1808</v>
      </c>
      <c r="P129" s="62">
        <v>200.37462022885913</v>
      </c>
      <c r="Q129" s="54" t="s">
        <v>1808</v>
      </c>
      <c r="R129" s="62">
        <v>35.76938482803935</v>
      </c>
      <c r="S129" s="54" t="s">
        <v>1808</v>
      </c>
      <c r="T129" s="62">
        <v>68.420321428285348</v>
      </c>
      <c r="U129" s="54" t="s">
        <v>1808</v>
      </c>
      <c r="V129" s="62">
        <v>5828.4705229506808</v>
      </c>
      <c r="W129" s="10" t="s">
        <v>1808</v>
      </c>
    </row>
    <row r="130" spans="1:23" ht="21.75" customHeight="1" x14ac:dyDescent="0.25">
      <c r="B130" s="10" t="s">
        <v>1358</v>
      </c>
      <c r="C130" s="17">
        <v>500</v>
      </c>
      <c r="D130" s="62" t="s">
        <v>1907</v>
      </c>
      <c r="E130" s="54" t="s">
        <v>1808</v>
      </c>
      <c r="F130" s="62">
        <v>16.67561016606043</v>
      </c>
      <c r="G130" s="54" t="s">
        <v>1808</v>
      </c>
      <c r="H130" s="62">
        <v>413.04194193811225</v>
      </c>
      <c r="I130" s="54" t="s">
        <v>1808</v>
      </c>
      <c r="J130" s="62">
        <v>788.32651388152931</v>
      </c>
      <c r="K130" s="54" t="s">
        <v>1808</v>
      </c>
      <c r="L130" s="62">
        <v>0.2333639673835663</v>
      </c>
      <c r="M130" s="54" t="s">
        <v>1808</v>
      </c>
      <c r="N130" s="62">
        <v>1.2244729101647125</v>
      </c>
      <c r="O130" s="54" t="s">
        <v>1808</v>
      </c>
      <c r="P130" s="62">
        <v>24.680958226373154</v>
      </c>
      <c r="Q130" s="54" t="s">
        <v>1808</v>
      </c>
      <c r="R130" s="62">
        <v>11.809612313823608</v>
      </c>
      <c r="S130" s="54" t="s">
        <v>1808</v>
      </c>
      <c r="T130" s="62">
        <v>20.76852517557742</v>
      </c>
      <c r="U130" s="54" t="s">
        <v>1808</v>
      </c>
      <c r="V130" s="62">
        <v>1803.6747326848749</v>
      </c>
      <c r="W130" s="10" t="s">
        <v>1808</v>
      </c>
    </row>
    <row r="131" spans="1:23" ht="21.75" customHeight="1" x14ac:dyDescent="0.25">
      <c r="B131" s="10" t="s">
        <v>1360</v>
      </c>
      <c r="C131" s="18">
        <v>100</v>
      </c>
      <c r="D131" s="62" t="s">
        <v>1907</v>
      </c>
      <c r="E131" s="54" t="s">
        <v>1808</v>
      </c>
      <c r="F131" s="62">
        <v>656.36725078786014</v>
      </c>
      <c r="G131" s="54" t="s">
        <v>1808</v>
      </c>
      <c r="H131" s="62">
        <v>10918.539751185202</v>
      </c>
      <c r="I131" s="54" t="s">
        <v>1808</v>
      </c>
      <c r="J131" s="62">
        <v>23322.55388276976</v>
      </c>
      <c r="K131" s="54" t="s">
        <v>1808</v>
      </c>
      <c r="L131" s="62">
        <v>3.4474623980512722</v>
      </c>
      <c r="M131" s="54" t="s">
        <v>1808</v>
      </c>
      <c r="N131" s="62">
        <v>8.3018681778303485</v>
      </c>
      <c r="O131" s="54" t="s">
        <v>1808</v>
      </c>
      <c r="P131" s="62">
        <v>333.06284419765336</v>
      </c>
      <c r="Q131" s="54" t="s">
        <v>1808</v>
      </c>
      <c r="R131" s="62">
        <v>81.744466666924268</v>
      </c>
      <c r="S131" s="54" t="s">
        <v>1808</v>
      </c>
      <c r="T131" s="62">
        <v>160.06501255538618</v>
      </c>
      <c r="U131" s="54" t="s">
        <v>1808</v>
      </c>
      <c r="V131" s="62">
        <v>9124.3266783026556</v>
      </c>
      <c r="W131" s="10" t="s">
        <v>1808</v>
      </c>
    </row>
    <row r="132" spans="1:23" ht="21.75" customHeight="1" x14ac:dyDescent="0.25">
      <c r="B132" s="10" t="s">
        <v>1360</v>
      </c>
      <c r="C132" s="17">
        <v>200</v>
      </c>
      <c r="D132" s="62" t="s">
        <v>1907</v>
      </c>
      <c r="E132" s="54" t="s">
        <v>1808</v>
      </c>
      <c r="F132" s="62">
        <v>137.81830862942434</v>
      </c>
      <c r="G132" s="54" t="s">
        <v>1808</v>
      </c>
      <c r="H132" s="62">
        <v>2621.4837819420763</v>
      </c>
      <c r="I132" s="54" t="s">
        <v>1808</v>
      </c>
      <c r="J132" s="62">
        <v>43942.972750623587</v>
      </c>
      <c r="K132" s="54" t="s">
        <v>1808</v>
      </c>
      <c r="L132" s="62">
        <v>3.8244157466924831</v>
      </c>
      <c r="M132" s="54" t="s">
        <v>1808</v>
      </c>
      <c r="N132" s="62">
        <v>15.512745646237725</v>
      </c>
      <c r="O132" s="54" t="s">
        <v>1808</v>
      </c>
      <c r="P132" s="62">
        <v>334.58692684929161</v>
      </c>
      <c r="Q132" s="54" t="s">
        <v>1808</v>
      </c>
      <c r="R132" s="62">
        <v>83.00855950990946</v>
      </c>
      <c r="S132" s="54" t="s">
        <v>1808</v>
      </c>
      <c r="T132" s="62">
        <v>265.90544340541851</v>
      </c>
      <c r="U132" s="54" t="s">
        <v>1808</v>
      </c>
      <c r="V132" s="62">
        <v>21451.809750223623</v>
      </c>
      <c r="W132" s="10" t="s">
        <v>1808</v>
      </c>
    </row>
    <row r="133" spans="1:23" ht="21.75" customHeight="1" x14ac:dyDescent="0.25">
      <c r="B133" s="10" t="s">
        <v>1361</v>
      </c>
      <c r="C133" s="18">
        <v>300</v>
      </c>
      <c r="D133" s="62" t="s">
        <v>1907</v>
      </c>
      <c r="E133" s="54" t="s">
        <v>1808</v>
      </c>
      <c r="F133" s="62">
        <v>72.516039815945391</v>
      </c>
      <c r="G133" s="54" t="s">
        <v>1808</v>
      </c>
      <c r="H133" s="62">
        <v>1328.3077169063733</v>
      </c>
      <c r="I133" s="54" t="s">
        <v>1808</v>
      </c>
      <c r="J133" s="62">
        <v>20163.605987365365</v>
      </c>
      <c r="K133" s="54" t="s">
        <v>1808</v>
      </c>
      <c r="L133" s="62">
        <v>2.772307554539839</v>
      </c>
      <c r="M133" s="54" t="s">
        <v>1808</v>
      </c>
      <c r="N133" s="62">
        <v>7.2408066069864159</v>
      </c>
      <c r="O133" s="54" t="s">
        <v>1808</v>
      </c>
      <c r="P133" s="62">
        <v>196.9881897157301</v>
      </c>
      <c r="Q133" s="54" t="s">
        <v>1808</v>
      </c>
      <c r="R133" s="62">
        <v>47.815629303314452</v>
      </c>
      <c r="S133" s="54" t="s">
        <v>1808</v>
      </c>
      <c r="T133" s="62">
        <v>121.98678370506211</v>
      </c>
      <c r="U133" s="54" t="s">
        <v>1808</v>
      </c>
      <c r="V133" s="62">
        <v>13680.05695068671</v>
      </c>
      <c r="W133" s="10" t="s">
        <v>1808</v>
      </c>
    </row>
    <row r="134" spans="1:23" ht="21.75" customHeight="1" x14ac:dyDescent="0.25">
      <c r="B134" s="13" t="s">
        <v>1361</v>
      </c>
      <c r="C134" s="20">
        <v>400</v>
      </c>
      <c r="D134" s="63" t="s">
        <v>1907</v>
      </c>
      <c r="E134" s="59" t="s">
        <v>1808</v>
      </c>
      <c r="F134" s="63">
        <v>38.513657922603294</v>
      </c>
      <c r="G134" s="59" t="s">
        <v>1808</v>
      </c>
      <c r="H134" s="63">
        <v>94.235210802969121</v>
      </c>
      <c r="I134" s="59" t="s">
        <v>1808</v>
      </c>
      <c r="J134" s="63">
        <v>632.37656210825992</v>
      </c>
      <c r="K134" s="59" t="s">
        <v>1808</v>
      </c>
      <c r="L134" s="63">
        <v>0.4584147768426583</v>
      </c>
      <c r="M134" s="59" t="s">
        <v>1808</v>
      </c>
      <c r="N134" s="63">
        <v>0.64844100686846828</v>
      </c>
      <c r="O134" s="59" t="s">
        <v>1808</v>
      </c>
      <c r="P134" s="63">
        <v>2.2085482762175102</v>
      </c>
      <c r="Q134" s="59" t="s">
        <v>1908</v>
      </c>
      <c r="R134" s="63">
        <v>6.7001955621298723</v>
      </c>
      <c r="S134" s="59" t="s">
        <v>1808</v>
      </c>
      <c r="T134" s="63">
        <v>4.5288637538327823</v>
      </c>
      <c r="U134" s="59" t="s">
        <v>1808</v>
      </c>
      <c r="V134" s="63">
        <v>446.72943573068972</v>
      </c>
      <c r="W134" s="13" t="s">
        <v>1808</v>
      </c>
    </row>
    <row r="135" spans="1:23" s="10" customFormat="1" ht="21.75" customHeight="1" x14ac:dyDescent="0.3">
      <c r="A135" s="11"/>
      <c r="B135" s="10" t="s">
        <v>692</v>
      </c>
      <c r="C135" s="17" t="s">
        <v>566</v>
      </c>
      <c r="D135" s="54">
        <v>1.0776434609289787</v>
      </c>
      <c r="E135" s="54"/>
      <c r="F135" s="54">
        <v>0.82817809764031869</v>
      </c>
      <c r="G135" s="54"/>
      <c r="H135" s="54">
        <v>0.74975851510410874</v>
      </c>
      <c r="I135" s="54"/>
      <c r="J135" s="54">
        <v>12.698238785638265</v>
      </c>
      <c r="K135" s="54"/>
      <c r="L135" s="54">
        <v>0.2333639673835663</v>
      </c>
      <c r="M135" s="54"/>
      <c r="N135" s="54">
        <v>1.6040018091896622E-3</v>
      </c>
      <c r="O135" s="54"/>
      <c r="P135" s="54">
        <v>0.92882865934267966</v>
      </c>
      <c r="Q135" s="54"/>
      <c r="R135" s="54">
        <v>0.20670752452074215</v>
      </c>
      <c r="S135" s="54"/>
      <c r="T135" s="54">
        <v>1.4703479083678743E-3</v>
      </c>
      <c r="U135" s="54"/>
      <c r="V135" s="54">
        <v>0.58021184136461812</v>
      </c>
    </row>
    <row r="136" spans="1:23" s="10" customFormat="1" ht="21.75" customHeight="1" x14ac:dyDescent="0.3">
      <c r="A136" s="11"/>
      <c r="C136" s="17" t="s">
        <v>565</v>
      </c>
      <c r="D136" s="54">
        <v>3314.2777403516002</v>
      </c>
      <c r="E136" s="54"/>
      <c r="F136" s="54">
        <v>8175.6535923060856</v>
      </c>
      <c r="G136" s="54"/>
      <c r="H136" s="54">
        <v>19505.865941011099</v>
      </c>
      <c r="I136" s="54"/>
      <c r="J136" s="54">
        <v>55690.545028624954</v>
      </c>
      <c r="K136" s="54"/>
      <c r="L136" s="54">
        <v>8.3332006492921025</v>
      </c>
      <c r="M136" s="54"/>
      <c r="N136" s="54">
        <v>15.512745646237725</v>
      </c>
      <c r="O136" s="54"/>
      <c r="P136" s="54">
        <v>876.13224329475054</v>
      </c>
      <c r="Q136" s="54"/>
      <c r="R136" s="54">
        <v>1659.0363378937107</v>
      </c>
      <c r="S136" s="54"/>
      <c r="T136" s="54">
        <v>373.13202761406825</v>
      </c>
      <c r="U136" s="54"/>
      <c r="V136" s="54">
        <v>22138.643938348352</v>
      </c>
    </row>
    <row r="137" spans="1:23" s="10" customFormat="1" ht="21.75" customHeight="1" x14ac:dyDescent="0.3">
      <c r="A137" s="11"/>
      <c r="C137" s="17" t="s">
        <v>493</v>
      </c>
      <c r="D137" s="54">
        <v>74.357080111252799</v>
      </c>
      <c r="E137" s="54"/>
      <c r="F137" s="54">
        <v>292.57421385910897</v>
      </c>
      <c r="G137" s="54"/>
      <c r="H137" s="54">
        <v>23.730321599082373</v>
      </c>
      <c r="I137" s="54"/>
      <c r="J137" s="54">
        <v>163.23760679131215</v>
      </c>
      <c r="K137" s="54"/>
      <c r="L137" s="54">
        <v>1.6648541355015918</v>
      </c>
      <c r="M137" s="54"/>
      <c r="N137" s="54">
        <v>0.11547294177307725</v>
      </c>
      <c r="O137" s="54"/>
      <c r="P137" s="54">
        <v>13.903225521021934</v>
      </c>
      <c r="Q137" s="54"/>
      <c r="R137" s="54">
        <v>49.518229750983835</v>
      </c>
      <c r="S137" s="54"/>
      <c r="T137" s="54">
        <v>8.7819595626724395E-2</v>
      </c>
      <c r="U137" s="54"/>
      <c r="V137" s="54">
        <v>13.248126525825853</v>
      </c>
    </row>
    <row r="138" spans="1:23" s="10" customFormat="1" ht="21.75" customHeight="1" x14ac:dyDescent="0.3">
      <c r="A138" s="11"/>
      <c r="C138" s="17" t="s">
        <v>838</v>
      </c>
      <c r="D138" s="54">
        <v>24.56610287660704</v>
      </c>
      <c r="E138" s="54"/>
      <c r="F138" s="54">
        <v>99.51973560645348</v>
      </c>
      <c r="G138" s="54"/>
      <c r="H138" s="54">
        <v>8.6837303260643957</v>
      </c>
      <c r="I138" s="54"/>
      <c r="J138" s="54">
        <v>72.195417045894374</v>
      </c>
      <c r="K138" s="54"/>
      <c r="L138" s="54">
        <v>0.95642501096196098</v>
      </c>
      <c r="M138" s="54"/>
      <c r="N138" s="54">
        <v>3.3463238060504046E-2</v>
      </c>
      <c r="O138" s="54"/>
      <c r="P138" s="54">
        <v>5.0653046436408919</v>
      </c>
      <c r="Q138" s="54"/>
      <c r="R138" s="54">
        <v>1.2535267586980379</v>
      </c>
      <c r="S138" s="54"/>
      <c r="T138" s="54">
        <v>4.6715688799494663E-2</v>
      </c>
      <c r="U138" s="54"/>
      <c r="V138" s="54">
        <v>4.7453647151224816</v>
      </c>
    </row>
    <row r="139" spans="1:23" s="10" customFormat="1" ht="21.75" customHeight="1" x14ac:dyDescent="0.3">
      <c r="A139" s="11"/>
      <c r="C139" s="17" t="s">
        <v>839</v>
      </c>
      <c r="D139" s="54">
        <v>163.86661141563377</v>
      </c>
      <c r="E139" s="54"/>
      <c r="F139" s="54">
        <v>763.21465839166365</v>
      </c>
      <c r="G139" s="54"/>
      <c r="H139" s="54">
        <v>263.45454931720644</v>
      </c>
      <c r="I139" s="54"/>
      <c r="J139" s="54">
        <v>1019.5430400564978</v>
      </c>
      <c r="K139" s="54"/>
      <c r="L139" s="54">
        <v>2.834366141976119</v>
      </c>
      <c r="M139" s="54"/>
      <c r="N139" s="54">
        <v>0.53682123354598776</v>
      </c>
      <c r="O139" s="54"/>
      <c r="P139" s="54">
        <v>46.355996274760585</v>
      </c>
      <c r="Q139" s="54"/>
      <c r="R139" s="54">
        <v>201.78157325995875</v>
      </c>
      <c r="S139" s="54"/>
      <c r="T139" s="54">
        <v>1.1206256027777632</v>
      </c>
      <c r="U139" s="54"/>
      <c r="V139" s="54">
        <v>446.72943573068972</v>
      </c>
    </row>
    <row r="140" spans="1:23" s="10" customFormat="1" ht="21.75" customHeight="1" x14ac:dyDescent="0.3">
      <c r="C140" s="11" t="s">
        <v>494</v>
      </c>
      <c r="D140" s="54">
        <v>184.75926528178616</v>
      </c>
      <c r="E140" s="54"/>
      <c r="F140" s="54">
        <v>825.81120988439272</v>
      </c>
      <c r="G140" s="54"/>
      <c r="H140" s="54">
        <v>1050.1774433255794</v>
      </c>
      <c r="I140" s="54"/>
      <c r="J140" s="54">
        <v>3483.4000307340511</v>
      </c>
      <c r="K140" s="54"/>
      <c r="L140" s="54">
        <v>2.2035474056001187</v>
      </c>
      <c r="M140" s="54"/>
      <c r="N140" s="54">
        <v>0.96466223474491652</v>
      </c>
      <c r="O140" s="54"/>
      <c r="P140" s="54">
        <v>70.825934525442051</v>
      </c>
      <c r="Q140" s="54"/>
      <c r="R140" s="54">
        <v>156.02740099084863</v>
      </c>
      <c r="S140" s="54"/>
      <c r="T140" s="54">
        <v>21.587501945474216</v>
      </c>
      <c r="U140" s="54"/>
      <c r="V140" s="54">
        <v>1565.9441611781556</v>
      </c>
    </row>
    <row r="141" spans="1:23" s="10" customFormat="1" ht="21.75" customHeight="1" x14ac:dyDescent="0.3">
      <c r="B141" s="13"/>
      <c r="C141" s="14" t="s">
        <v>501</v>
      </c>
      <c r="D141" s="59">
        <v>378.69303038542807</v>
      </c>
      <c r="E141" s="59"/>
      <c r="F141" s="59">
        <v>1514.2468070100622</v>
      </c>
      <c r="G141" s="59"/>
      <c r="H141" s="59">
        <v>2961.3438436074516</v>
      </c>
      <c r="I141" s="59"/>
      <c r="J141" s="59">
        <v>8847.9833791894616</v>
      </c>
      <c r="K141" s="59"/>
      <c r="L141" s="59">
        <v>1.6873819916898398</v>
      </c>
      <c r="M141" s="59"/>
      <c r="N141" s="59">
        <v>2.3809156871600621</v>
      </c>
      <c r="O141" s="59"/>
      <c r="P141" s="59">
        <v>144.5279030920268</v>
      </c>
      <c r="Q141" s="59"/>
      <c r="R141" s="59">
        <v>256.97800542513829</v>
      </c>
      <c r="S141" s="59"/>
      <c r="T141" s="59">
        <v>57.544351745821558</v>
      </c>
      <c r="U141" s="59"/>
      <c r="V141" s="59">
        <v>4041.1656992240123</v>
      </c>
      <c r="W141" s="13"/>
    </row>
    <row r="142" spans="1:23" ht="21.75" customHeight="1" x14ac:dyDescent="0.25">
      <c r="B142" s="16" t="s">
        <v>516</v>
      </c>
      <c r="C142" s="17">
        <v>100</v>
      </c>
      <c r="D142" s="11" t="s">
        <v>58</v>
      </c>
      <c r="E142" s="54" t="s">
        <v>1908</v>
      </c>
      <c r="F142" s="11" t="s">
        <v>59</v>
      </c>
      <c r="G142" s="11" t="s">
        <v>1808</v>
      </c>
      <c r="H142" s="11" t="s">
        <v>60</v>
      </c>
      <c r="I142" s="54" t="s">
        <v>1807</v>
      </c>
      <c r="J142" s="11" t="s">
        <v>61</v>
      </c>
      <c r="K142" s="54" t="s">
        <v>1807</v>
      </c>
      <c r="L142" s="11" t="s">
        <v>62</v>
      </c>
      <c r="M142" s="11" t="s">
        <v>1808</v>
      </c>
      <c r="N142" s="11" t="s">
        <v>73</v>
      </c>
      <c r="O142" s="54" t="s">
        <v>1908</v>
      </c>
      <c r="P142" s="11" t="s">
        <v>1875</v>
      </c>
      <c r="Q142" s="54" t="s">
        <v>1908</v>
      </c>
      <c r="R142" s="11" t="s">
        <v>65</v>
      </c>
      <c r="S142" s="54" t="s">
        <v>1908</v>
      </c>
      <c r="T142" s="11" t="s">
        <v>134</v>
      </c>
      <c r="U142" s="54" t="s">
        <v>1908</v>
      </c>
      <c r="V142" s="11" t="s">
        <v>67</v>
      </c>
      <c r="W142" s="54" t="s">
        <v>1908</v>
      </c>
    </row>
    <row r="143" spans="1:23" ht="21.75" customHeight="1" x14ac:dyDescent="0.25">
      <c r="B143" s="16" t="s">
        <v>516</v>
      </c>
      <c r="C143" s="18">
        <v>200</v>
      </c>
      <c r="D143" s="11" t="s">
        <v>68</v>
      </c>
      <c r="E143" s="54" t="s">
        <v>1807</v>
      </c>
      <c r="F143" s="11" t="s">
        <v>69</v>
      </c>
      <c r="G143" s="11" t="s">
        <v>1808</v>
      </c>
      <c r="H143" s="11" t="s">
        <v>1876</v>
      </c>
      <c r="I143" s="54" t="s">
        <v>1807</v>
      </c>
      <c r="J143" s="11" t="s">
        <v>70</v>
      </c>
      <c r="K143" s="11" t="s">
        <v>1808</v>
      </c>
      <c r="L143" s="11" t="s">
        <v>71</v>
      </c>
      <c r="M143" s="11" t="s">
        <v>1808</v>
      </c>
      <c r="N143" s="11" t="s">
        <v>1724</v>
      </c>
      <c r="O143" s="54" t="s">
        <v>1807</v>
      </c>
      <c r="P143" s="11" t="s">
        <v>1877</v>
      </c>
      <c r="Q143" s="54" t="s">
        <v>1908</v>
      </c>
      <c r="R143" s="11" t="s">
        <v>72</v>
      </c>
      <c r="S143" s="54" t="s">
        <v>1908</v>
      </c>
      <c r="T143" s="11" t="s">
        <v>73</v>
      </c>
      <c r="U143" s="54" t="s">
        <v>1908</v>
      </c>
      <c r="V143" s="11" t="s">
        <v>74</v>
      </c>
      <c r="W143" s="54" t="s">
        <v>1908</v>
      </c>
    </row>
    <row r="144" spans="1:23" ht="21.75" customHeight="1" x14ac:dyDescent="0.25">
      <c r="B144" s="16" t="s">
        <v>516</v>
      </c>
      <c r="C144" s="18">
        <v>300</v>
      </c>
      <c r="D144" s="11" t="s">
        <v>75</v>
      </c>
      <c r="E144" s="11" t="s">
        <v>1808</v>
      </c>
      <c r="F144" s="11" t="s">
        <v>76</v>
      </c>
      <c r="G144" s="11" t="s">
        <v>1808</v>
      </c>
      <c r="H144" s="11" t="s">
        <v>77</v>
      </c>
      <c r="I144" s="54" t="s">
        <v>1807</v>
      </c>
      <c r="J144" s="11" t="s">
        <v>78</v>
      </c>
      <c r="K144" s="11" t="s">
        <v>1808</v>
      </c>
      <c r="L144" s="11" t="s">
        <v>79</v>
      </c>
      <c r="M144" s="11" t="s">
        <v>1808</v>
      </c>
      <c r="N144" s="11" t="s">
        <v>1829</v>
      </c>
      <c r="O144" s="54" t="s">
        <v>1908</v>
      </c>
      <c r="P144" s="11" t="s">
        <v>1878</v>
      </c>
      <c r="Q144" s="54" t="s">
        <v>1908</v>
      </c>
      <c r="R144" s="11" t="s">
        <v>81</v>
      </c>
      <c r="S144" s="54" t="s">
        <v>1908</v>
      </c>
      <c r="T144" s="11" t="s">
        <v>134</v>
      </c>
      <c r="U144" s="54" t="s">
        <v>1908</v>
      </c>
      <c r="V144" s="11" t="s">
        <v>82</v>
      </c>
      <c r="W144" s="54" t="s">
        <v>1908</v>
      </c>
    </row>
    <row r="145" spans="2:23" ht="21.75" customHeight="1" x14ac:dyDescent="0.25">
      <c r="B145" s="16" t="s">
        <v>516</v>
      </c>
      <c r="C145" s="17">
        <v>400</v>
      </c>
      <c r="D145" s="11" t="s">
        <v>83</v>
      </c>
      <c r="E145" s="11" t="s">
        <v>1808</v>
      </c>
      <c r="F145" s="11" t="s">
        <v>84</v>
      </c>
      <c r="G145" s="11" t="s">
        <v>1808</v>
      </c>
      <c r="H145" s="11" t="s">
        <v>85</v>
      </c>
      <c r="I145" s="54" t="s">
        <v>1807</v>
      </c>
      <c r="J145" s="11" t="s">
        <v>86</v>
      </c>
      <c r="K145" s="11" t="s">
        <v>1808</v>
      </c>
      <c r="L145" s="11" t="s">
        <v>87</v>
      </c>
      <c r="M145" s="11" t="s">
        <v>1808</v>
      </c>
      <c r="N145" s="11" t="s">
        <v>63</v>
      </c>
      <c r="O145" s="54" t="s">
        <v>1908</v>
      </c>
      <c r="P145" s="11" t="s">
        <v>1879</v>
      </c>
      <c r="Q145" s="54" t="s">
        <v>1908</v>
      </c>
      <c r="R145" s="11" t="s">
        <v>88</v>
      </c>
      <c r="S145" s="54" t="s">
        <v>1908</v>
      </c>
      <c r="T145" s="11" t="s">
        <v>89</v>
      </c>
      <c r="U145" s="54" t="s">
        <v>1908</v>
      </c>
      <c r="V145" s="11" t="s">
        <v>91</v>
      </c>
      <c r="W145" s="54" t="s">
        <v>1908</v>
      </c>
    </row>
    <row r="146" spans="2:23" ht="21.75" customHeight="1" x14ac:dyDescent="0.25">
      <c r="B146" s="16" t="s">
        <v>516</v>
      </c>
      <c r="C146" s="18">
        <v>500</v>
      </c>
      <c r="D146" s="11" t="s">
        <v>92</v>
      </c>
      <c r="E146" s="11" t="s">
        <v>1808</v>
      </c>
      <c r="F146" s="11" t="s">
        <v>93</v>
      </c>
      <c r="G146" s="11" t="s">
        <v>1808</v>
      </c>
      <c r="H146" s="11" t="s">
        <v>94</v>
      </c>
      <c r="I146" s="54" t="s">
        <v>1807</v>
      </c>
      <c r="J146" s="11" t="s">
        <v>95</v>
      </c>
      <c r="K146" s="11" t="s">
        <v>1808</v>
      </c>
      <c r="L146" s="11" t="s">
        <v>96</v>
      </c>
      <c r="M146" s="11" t="s">
        <v>1808</v>
      </c>
      <c r="N146" s="11" t="s">
        <v>97</v>
      </c>
      <c r="O146" s="54" t="s">
        <v>1908</v>
      </c>
      <c r="P146" s="11" t="s">
        <v>1880</v>
      </c>
      <c r="Q146" s="54" t="s">
        <v>1908</v>
      </c>
      <c r="R146" s="11" t="s">
        <v>98</v>
      </c>
      <c r="S146" s="54" t="s">
        <v>1908</v>
      </c>
      <c r="T146" s="11" t="s">
        <v>99</v>
      </c>
      <c r="U146" s="54" t="s">
        <v>1908</v>
      </c>
      <c r="V146" s="11" t="s">
        <v>100</v>
      </c>
      <c r="W146" s="54" t="s">
        <v>1908</v>
      </c>
    </row>
    <row r="147" spans="2:23" ht="21.75" customHeight="1" x14ac:dyDescent="0.25">
      <c r="B147" s="16"/>
      <c r="C147" s="18"/>
      <c r="D147" s="11"/>
      <c r="E147" s="11"/>
      <c r="F147" s="11"/>
      <c r="G147" s="11"/>
      <c r="H147" s="11"/>
      <c r="I147" s="11"/>
      <c r="J147" s="11"/>
      <c r="K147" s="11"/>
      <c r="L147" s="11"/>
      <c r="M147" s="11"/>
      <c r="N147" s="11"/>
      <c r="O147" s="11"/>
      <c r="P147" s="11"/>
      <c r="Q147" s="11"/>
      <c r="R147" s="11"/>
      <c r="S147" s="11"/>
      <c r="T147" s="11"/>
      <c r="U147" s="11"/>
      <c r="V147" s="11"/>
    </row>
    <row r="148" spans="2:23" ht="21.75" customHeight="1" x14ac:dyDescent="0.25">
      <c r="B148" s="16" t="s">
        <v>1020</v>
      </c>
      <c r="C148" s="17">
        <v>100</v>
      </c>
      <c r="D148" s="11" t="s">
        <v>101</v>
      </c>
      <c r="E148" s="11" t="s">
        <v>1808</v>
      </c>
      <c r="F148" s="11" t="s">
        <v>102</v>
      </c>
      <c r="G148" s="11" t="s">
        <v>1808</v>
      </c>
      <c r="H148" s="11" t="s">
        <v>1881</v>
      </c>
      <c r="I148" s="54" t="s">
        <v>1807</v>
      </c>
      <c r="J148" s="11" t="s">
        <v>1882</v>
      </c>
      <c r="K148" s="54" t="s">
        <v>1908</v>
      </c>
      <c r="L148" s="11" t="s">
        <v>103</v>
      </c>
      <c r="M148" s="11" t="s">
        <v>1808</v>
      </c>
      <c r="N148" s="11" t="s">
        <v>63</v>
      </c>
      <c r="O148" s="54" t="s">
        <v>1908</v>
      </c>
      <c r="P148" s="11" t="s">
        <v>1883</v>
      </c>
      <c r="Q148" s="54" t="s">
        <v>1908</v>
      </c>
      <c r="R148" s="11" t="s">
        <v>104</v>
      </c>
      <c r="S148" s="54" t="s">
        <v>1807</v>
      </c>
      <c r="T148" s="11" t="s">
        <v>73</v>
      </c>
      <c r="U148" s="54" t="s">
        <v>1908</v>
      </c>
      <c r="V148" s="11" t="s">
        <v>1884</v>
      </c>
      <c r="W148" s="54" t="s">
        <v>1908</v>
      </c>
    </row>
    <row r="149" spans="2:23" ht="21.75" customHeight="1" x14ac:dyDescent="0.25">
      <c r="B149" s="16" t="s">
        <v>1020</v>
      </c>
      <c r="C149" s="18">
        <v>200</v>
      </c>
      <c r="D149" s="11" t="s">
        <v>105</v>
      </c>
      <c r="E149" s="11" t="s">
        <v>1808</v>
      </c>
      <c r="F149" s="11" t="s">
        <v>106</v>
      </c>
      <c r="G149" s="11" t="s">
        <v>1808</v>
      </c>
      <c r="H149" s="11" t="s">
        <v>1419</v>
      </c>
      <c r="I149" s="54" t="s">
        <v>1807</v>
      </c>
      <c r="J149" s="11" t="s">
        <v>1420</v>
      </c>
      <c r="K149" s="54" t="s">
        <v>1807</v>
      </c>
      <c r="L149" s="11" t="s">
        <v>107</v>
      </c>
      <c r="M149" s="11" t="s">
        <v>1808</v>
      </c>
      <c r="N149" s="11" t="s">
        <v>108</v>
      </c>
      <c r="O149" s="54" t="s">
        <v>1808</v>
      </c>
      <c r="P149" s="11" t="s">
        <v>1885</v>
      </c>
      <c r="Q149" s="54" t="s">
        <v>1908</v>
      </c>
      <c r="R149" s="11" t="s">
        <v>109</v>
      </c>
      <c r="S149" s="54" t="s">
        <v>1807</v>
      </c>
      <c r="T149" s="11" t="s">
        <v>110</v>
      </c>
      <c r="U149" s="54" t="s">
        <v>1908</v>
      </c>
      <c r="V149" s="11" t="s">
        <v>1431</v>
      </c>
      <c r="W149" s="54" t="s">
        <v>1908</v>
      </c>
    </row>
    <row r="150" spans="2:23" ht="21.75" customHeight="1" x14ac:dyDescent="0.25">
      <c r="B150" s="16" t="s">
        <v>1020</v>
      </c>
      <c r="C150" s="18">
        <v>300</v>
      </c>
      <c r="D150" s="11" t="s">
        <v>112</v>
      </c>
      <c r="E150" s="11" t="s">
        <v>1808</v>
      </c>
      <c r="F150" s="11" t="s">
        <v>113</v>
      </c>
      <c r="G150" s="11" t="s">
        <v>1808</v>
      </c>
      <c r="H150" s="11" t="s">
        <v>114</v>
      </c>
      <c r="I150" s="54" t="s">
        <v>1807</v>
      </c>
      <c r="J150" s="11" t="s">
        <v>115</v>
      </c>
      <c r="K150" s="54" t="s">
        <v>1908</v>
      </c>
      <c r="L150" s="11" t="s">
        <v>116</v>
      </c>
      <c r="M150" s="11" t="s">
        <v>1808</v>
      </c>
      <c r="N150" s="11" t="s">
        <v>80</v>
      </c>
      <c r="O150" s="54" t="s">
        <v>1908</v>
      </c>
      <c r="P150" s="11" t="s">
        <v>1886</v>
      </c>
      <c r="Q150" s="54" t="s">
        <v>1908</v>
      </c>
      <c r="R150" s="11" t="s">
        <v>117</v>
      </c>
      <c r="S150" s="54" t="s">
        <v>1807</v>
      </c>
      <c r="T150" s="11" t="s">
        <v>111</v>
      </c>
      <c r="U150" s="54" t="s">
        <v>1908</v>
      </c>
      <c r="V150" s="11" t="s">
        <v>119</v>
      </c>
      <c r="W150" s="54" t="s">
        <v>1908</v>
      </c>
    </row>
    <row r="151" spans="2:23" ht="21.75" customHeight="1" x14ac:dyDescent="0.25">
      <c r="B151" s="16" t="s">
        <v>1020</v>
      </c>
      <c r="C151" s="17">
        <v>400</v>
      </c>
      <c r="D151" s="11" t="s">
        <v>120</v>
      </c>
      <c r="E151" s="11" t="s">
        <v>1808</v>
      </c>
      <c r="F151" s="11" t="s">
        <v>121</v>
      </c>
      <c r="G151" s="11" t="s">
        <v>1808</v>
      </c>
      <c r="H151" s="11" t="s">
        <v>1887</v>
      </c>
      <c r="I151" s="54" t="s">
        <v>1807</v>
      </c>
      <c r="J151" s="11" t="s">
        <v>122</v>
      </c>
      <c r="K151" s="54" t="s">
        <v>1908</v>
      </c>
      <c r="L151" s="11" t="s">
        <v>123</v>
      </c>
      <c r="M151" s="11" t="s">
        <v>1808</v>
      </c>
      <c r="N151" s="11" t="s">
        <v>97</v>
      </c>
      <c r="O151" s="54" t="s">
        <v>1908</v>
      </c>
      <c r="P151" s="11" t="s">
        <v>63</v>
      </c>
      <c r="Q151" s="54" t="s">
        <v>1908</v>
      </c>
      <c r="R151" s="11" t="s">
        <v>124</v>
      </c>
      <c r="S151" s="54" t="s">
        <v>1807</v>
      </c>
      <c r="T151" s="11" t="s">
        <v>125</v>
      </c>
      <c r="U151" s="54" t="s">
        <v>1908</v>
      </c>
      <c r="V151" s="11" t="s">
        <v>1888</v>
      </c>
      <c r="W151" s="54" t="s">
        <v>1908</v>
      </c>
    </row>
    <row r="152" spans="2:23" ht="21.75" customHeight="1" x14ac:dyDescent="0.25">
      <c r="B152" s="16" t="s">
        <v>1020</v>
      </c>
      <c r="C152" s="18">
        <v>500</v>
      </c>
      <c r="D152" s="11" t="s">
        <v>126</v>
      </c>
      <c r="E152" s="11" t="s">
        <v>1808</v>
      </c>
      <c r="F152" s="11" t="s">
        <v>127</v>
      </c>
      <c r="G152" s="11" t="s">
        <v>1808</v>
      </c>
      <c r="H152" s="11" t="s">
        <v>128</v>
      </c>
      <c r="I152" s="54" t="s">
        <v>1807</v>
      </c>
      <c r="J152" s="11" t="s">
        <v>129</v>
      </c>
      <c r="K152" s="54" t="s">
        <v>1807</v>
      </c>
      <c r="L152" s="11" t="s">
        <v>130</v>
      </c>
      <c r="M152" s="11" t="s">
        <v>1808</v>
      </c>
      <c r="N152" s="11" t="s">
        <v>131</v>
      </c>
      <c r="O152" s="54" t="s">
        <v>1908</v>
      </c>
      <c r="P152" s="11" t="s">
        <v>1889</v>
      </c>
      <c r="Q152" s="54" t="s">
        <v>1908</v>
      </c>
      <c r="R152" s="11" t="s">
        <v>132</v>
      </c>
      <c r="S152" s="54" t="s">
        <v>1807</v>
      </c>
      <c r="T152" s="11" t="s">
        <v>219</v>
      </c>
      <c r="U152" s="54" t="s">
        <v>1908</v>
      </c>
      <c r="V152" s="11" t="s">
        <v>1890</v>
      </c>
      <c r="W152" s="54" t="s">
        <v>1908</v>
      </c>
    </row>
    <row r="153" spans="2:23" ht="21.75" customHeight="1" x14ac:dyDescent="0.25">
      <c r="B153" s="16"/>
      <c r="C153" s="18"/>
      <c r="D153" s="11"/>
      <c r="E153" s="11"/>
      <c r="F153" s="11"/>
      <c r="G153" s="11"/>
      <c r="H153" s="11"/>
      <c r="I153" s="11"/>
      <c r="J153" s="11"/>
      <c r="K153" s="11"/>
      <c r="L153" s="11"/>
      <c r="M153" s="11"/>
      <c r="N153" s="11"/>
      <c r="O153" s="11"/>
      <c r="P153" s="11"/>
      <c r="Q153" s="11"/>
      <c r="R153" s="11"/>
      <c r="S153" s="11"/>
      <c r="T153" s="11"/>
      <c r="U153" s="11"/>
      <c r="V153" s="11"/>
    </row>
    <row r="154" spans="2:23" ht="21.75" customHeight="1" x14ac:dyDescent="0.25">
      <c r="B154" s="16" t="s">
        <v>43</v>
      </c>
      <c r="C154" s="17">
        <v>100</v>
      </c>
      <c r="D154" s="11" t="s">
        <v>840</v>
      </c>
      <c r="E154" s="11" t="s">
        <v>1808</v>
      </c>
      <c r="F154" s="11" t="s">
        <v>841</v>
      </c>
      <c r="G154" s="11" t="s">
        <v>1808</v>
      </c>
      <c r="H154" s="11" t="s">
        <v>1421</v>
      </c>
      <c r="I154" s="54" t="s">
        <v>1807</v>
      </c>
      <c r="J154" s="11" t="s">
        <v>1422</v>
      </c>
      <c r="K154" s="54" t="s">
        <v>1807</v>
      </c>
      <c r="L154" s="11" t="s">
        <v>1891</v>
      </c>
      <c r="M154" s="54" t="s">
        <v>1807</v>
      </c>
      <c r="N154" s="11" t="s">
        <v>1892</v>
      </c>
      <c r="O154" s="54" t="s">
        <v>1908</v>
      </c>
      <c r="P154" s="11" t="s">
        <v>842</v>
      </c>
      <c r="Q154" s="54" t="s">
        <v>1908</v>
      </c>
      <c r="R154" s="11" t="s">
        <v>843</v>
      </c>
      <c r="S154" s="11" t="s">
        <v>1808</v>
      </c>
      <c r="T154" s="11" t="s">
        <v>844</v>
      </c>
      <c r="U154" s="54" t="s">
        <v>1908</v>
      </c>
      <c r="V154" s="11" t="s">
        <v>1432</v>
      </c>
      <c r="W154" s="54" t="s">
        <v>1908</v>
      </c>
    </row>
    <row r="155" spans="2:23" ht="21.75" customHeight="1" x14ac:dyDescent="0.25">
      <c r="B155" s="16" t="s">
        <v>43</v>
      </c>
      <c r="C155" s="18">
        <v>200</v>
      </c>
      <c r="D155" s="11" t="s">
        <v>845</v>
      </c>
      <c r="E155" s="11" t="s">
        <v>1808</v>
      </c>
      <c r="F155" s="11" t="s">
        <v>846</v>
      </c>
      <c r="G155" s="11" t="s">
        <v>1808</v>
      </c>
      <c r="H155" s="11" t="s">
        <v>847</v>
      </c>
      <c r="I155" s="54" t="s">
        <v>1807</v>
      </c>
      <c r="J155" s="11" t="s">
        <v>848</v>
      </c>
      <c r="K155" s="54" t="s">
        <v>1807</v>
      </c>
      <c r="L155" s="11" t="s">
        <v>1893</v>
      </c>
      <c r="M155" s="54" t="s">
        <v>1807</v>
      </c>
      <c r="N155" s="11" t="s">
        <v>118</v>
      </c>
      <c r="O155" s="54" t="s">
        <v>1908</v>
      </c>
      <c r="P155" s="11" t="s">
        <v>849</v>
      </c>
      <c r="Q155" s="54" t="s">
        <v>1908</v>
      </c>
      <c r="R155" s="11" t="s">
        <v>850</v>
      </c>
      <c r="S155" s="11" t="s">
        <v>1808</v>
      </c>
      <c r="T155" s="11" t="s">
        <v>176</v>
      </c>
      <c r="U155" s="54" t="s">
        <v>1908</v>
      </c>
      <c r="V155" s="11" t="s">
        <v>851</v>
      </c>
      <c r="W155" s="54" t="s">
        <v>1908</v>
      </c>
    </row>
    <row r="156" spans="2:23" ht="21.75" customHeight="1" x14ac:dyDescent="0.25">
      <c r="B156" s="16" t="s">
        <v>43</v>
      </c>
      <c r="C156" s="18">
        <v>300</v>
      </c>
      <c r="D156" s="11" t="s">
        <v>852</v>
      </c>
      <c r="E156" s="11" t="s">
        <v>1808</v>
      </c>
      <c r="F156" s="11" t="s">
        <v>853</v>
      </c>
      <c r="G156" s="11" t="s">
        <v>1808</v>
      </c>
      <c r="H156" s="11" t="s">
        <v>854</v>
      </c>
      <c r="I156" s="54" t="s">
        <v>1807</v>
      </c>
      <c r="J156" s="11" t="s">
        <v>855</v>
      </c>
      <c r="K156" s="54" t="s">
        <v>1807</v>
      </c>
      <c r="L156" s="11" t="s">
        <v>856</v>
      </c>
      <c r="M156" s="54" t="s">
        <v>1807</v>
      </c>
      <c r="N156" s="11" t="s">
        <v>857</v>
      </c>
      <c r="O156" s="54" t="s">
        <v>1908</v>
      </c>
      <c r="P156" s="11" t="s">
        <v>858</v>
      </c>
      <c r="Q156" s="54" t="s">
        <v>1908</v>
      </c>
      <c r="R156" s="11" t="s">
        <v>859</v>
      </c>
      <c r="S156" s="11" t="s">
        <v>1808</v>
      </c>
      <c r="T156" s="11" t="s">
        <v>152</v>
      </c>
      <c r="U156" s="54" t="s">
        <v>1908</v>
      </c>
      <c r="V156" s="11" t="s">
        <v>860</v>
      </c>
      <c r="W156" s="54" t="s">
        <v>1908</v>
      </c>
    </row>
    <row r="157" spans="2:23" ht="21.75" customHeight="1" x14ac:dyDescent="0.25">
      <c r="B157" s="16" t="s">
        <v>43</v>
      </c>
      <c r="C157" s="17">
        <v>400</v>
      </c>
      <c r="D157" s="11" t="s">
        <v>861</v>
      </c>
      <c r="E157" s="11" t="s">
        <v>1808</v>
      </c>
      <c r="F157" s="11" t="s">
        <v>862</v>
      </c>
      <c r="G157" s="11" t="s">
        <v>1808</v>
      </c>
      <c r="H157" s="11" t="s">
        <v>863</v>
      </c>
      <c r="I157" s="54" t="s">
        <v>1807</v>
      </c>
      <c r="J157" s="11" t="s">
        <v>864</v>
      </c>
      <c r="K157" s="54" t="s">
        <v>1807</v>
      </c>
      <c r="L157" s="11" t="s">
        <v>865</v>
      </c>
      <c r="M157" s="11" t="s">
        <v>1808</v>
      </c>
      <c r="N157" s="11" t="s">
        <v>731</v>
      </c>
      <c r="O157" s="54" t="s">
        <v>1908</v>
      </c>
      <c r="P157" s="11" t="s">
        <v>1894</v>
      </c>
      <c r="Q157" s="54" t="s">
        <v>1908</v>
      </c>
      <c r="R157" s="11" t="s">
        <v>866</v>
      </c>
      <c r="S157" s="11" t="s">
        <v>1808</v>
      </c>
      <c r="T157" s="11" t="s">
        <v>867</v>
      </c>
      <c r="U157" s="54" t="s">
        <v>1908</v>
      </c>
      <c r="V157" s="11" t="s">
        <v>1895</v>
      </c>
      <c r="W157" s="54" t="s">
        <v>1908</v>
      </c>
    </row>
    <row r="158" spans="2:23" ht="21.75" customHeight="1" x14ac:dyDescent="0.25">
      <c r="B158" s="16" t="s">
        <v>43</v>
      </c>
      <c r="C158" s="18">
        <v>500</v>
      </c>
      <c r="D158" s="11" t="s">
        <v>868</v>
      </c>
      <c r="E158" s="11" t="s">
        <v>1808</v>
      </c>
      <c r="F158" s="11" t="s">
        <v>869</v>
      </c>
      <c r="G158" s="11" t="s">
        <v>1808</v>
      </c>
      <c r="H158" s="11" t="s">
        <v>870</v>
      </c>
      <c r="I158" s="54" t="s">
        <v>1807</v>
      </c>
      <c r="J158" s="11" t="s">
        <v>871</v>
      </c>
      <c r="K158" s="54" t="s">
        <v>1807</v>
      </c>
      <c r="L158" s="11" t="s">
        <v>872</v>
      </c>
      <c r="M158" s="11" t="s">
        <v>1807</v>
      </c>
      <c r="N158" s="11" t="s">
        <v>90</v>
      </c>
      <c r="O158" s="54" t="s">
        <v>1908</v>
      </c>
      <c r="P158" s="11" t="s">
        <v>873</v>
      </c>
      <c r="Q158" s="54" t="s">
        <v>1908</v>
      </c>
      <c r="R158" s="11" t="s">
        <v>874</v>
      </c>
      <c r="S158" s="11" t="s">
        <v>1808</v>
      </c>
      <c r="T158" s="11" t="s">
        <v>216</v>
      </c>
      <c r="U158" s="54" t="s">
        <v>1908</v>
      </c>
      <c r="V158" s="11" t="s">
        <v>1896</v>
      </c>
      <c r="W158" s="54" t="s">
        <v>1908</v>
      </c>
    </row>
    <row r="159" spans="2:23" ht="21.75" customHeight="1" x14ac:dyDescent="0.25">
      <c r="B159" s="16"/>
      <c r="C159" s="18"/>
      <c r="D159" s="11"/>
      <c r="E159" s="11"/>
      <c r="F159" s="11"/>
      <c r="G159" s="11"/>
      <c r="H159" s="11"/>
      <c r="I159" s="11"/>
      <c r="J159" s="11"/>
      <c r="K159" s="11"/>
      <c r="L159" s="11"/>
      <c r="M159" s="11"/>
      <c r="N159" s="11"/>
      <c r="O159" s="11"/>
      <c r="P159" s="11"/>
      <c r="Q159" s="11"/>
      <c r="R159" s="11"/>
      <c r="S159" s="11"/>
      <c r="T159" s="11"/>
      <c r="U159" s="11"/>
      <c r="V159" s="11"/>
    </row>
    <row r="160" spans="2:23" ht="21.75" customHeight="1" x14ac:dyDescent="0.25">
      <c r="B160" s="16" t="s">
        <v>412</v>
      </c>
      <c r="C160" s="17">
        <v>100</v>
      </c>
      <c r="D160" s="11" t="s">
        <v>139</v>
      </c>
      <c r="E160" s="54" t="s">
        <v>1908</v>
      </c>
      <c r="F160" s="11" t="s">
        <v>140</v>
      </c>
      <c r="G160" s="11" t="s">
        <v>1807</v>
      </c>
      <c r="H160" s="11" t="s">
        <v>141</v>
      </c>
      <c r="I160" s="54" t="s">
        <v>1807</v>
      </c>
      <c r="J160" s="11" t="s">
        <v>142</v>
      </c>
      <c r="K160" s="54" t="s">
        <v>1908</v>
      </c>
      <c r="L160" s="11" t="s">
        <v>1611</v>
      </c>
      <c r="M160" s="54" t="s">
        <v>1807</v>
      </c>
      <c r="N160" s="11" t="s">
        <v>143</v>
      </c>
      <c r="O160" s="54" t="s">
        <v>1908</v>
      </c>
      <c r="P160" s="11" t="s">
        <v>144</v>
      </c>
      <c r="Q160" s="54" t="s">
        <v>1908</v>
      </c>
      <c r="R160" s="11" t="s">
        <v>145</v>
      </c>
      <c r="S160" s="11" t="s">
        <v>1808</v>
      </c>
      <c r="T160" s="11" t="s">
        <v>146</v>
      </c>
      <c r="U160" s="54" t="s">
        <v>1908</v>
      </c>
      <c r="V160" s="11" t="s">
        <v>147</v>
      </c>
      <c r="W160" s="54" t="s">
        <v>1908</v>
      </c>
    </row>
    <row r="161" spans="2:23" ht="21.75" customHeight="1" x14ac:dyDescent="0.25">
      <c r="B161" s="16" t="s">
        <v>412</v>
      </c>
      <c r="C161" s="18">
        <v>200</v>
      </c>
      <c r="D161" s="11" t="s">
        <v>148</v>
      </c>
      <c r="E161" s="54" t="s">
        <v>1807</v>
      </c>
      <c r="F161" s="11" t="s">
        <v>149</v>
      </c>
      <c r="G161" s="11" t="s">
        <v>1808</v>
      </c>
      <c r="H161" s="11" t="s">
        <v>150</v>
      </c>
      <c r="I161" s="54" t="s">
        <v>1807</v>
      </c>
      <c r="J161" s="11" t="s">
        <v>151</v>
      </c>
      <c r="K161" s="54" t="s">
        <v>1908</v>
      </c>
      <c r="L161" s="11" t="s">
        <v>1612</v>
      </c>
      <c r="M161" s="11" t="s">
        <v>1808</v>
      </c>
      <c r="N161" s="11" t="s">
        <v>152</v>
      </c>
      <c r="O161" s="54" t="s">
        <v>1908</v>
      </c>
      <c r="P161" s="11" t="s">
        <v>153</v>
      </c>
      <c r="Q161" s="54" t="s">
        <v>1908</v>
      </c>
      <c r="R161" s="11" t="s">
        <v>154</v>
      </c>
      <c r="S161" s="11" t="s">
        <v>1808</v>
      </c>
      <c r="T161" s="11" t="s">
        <v>155</v>
      </c>
      <c r="U161" s="54" t="s">
        <v>1908</v>
      </c>
      <c r="V161" s="11" t="s">
        <v>156</v>
      </c>
      <c r="W161" s="54" t="s">
        <v>1908</v>
      </c>
    </row>
    <row r="162" spans="2:23" ht="21.75" customHeight="1" x14ac:dyDescent="0.25">
      <c r="B162" s="16" t="s">
        <v>412</v>
      </c>
      <c r="C162" s="18">
        <v>300</v>
      </c>
      <c r="D162" s="11" t="s">
        <v>157</v>
      </c>
      <c r="E162" s="11" t="s">
        <v>1808</v>
      </c>
      <c r="F162" s="11" t="s">
        <v>158</v>
      </c>
      <c r="G162" s="11" t="s">
        <v>1808</v>
      </c>
      <c r="H162" s="11" t="s">
        <v>1423</v>
      </c>
      <c r="I162" s="54" t="s">
        <v>1807</v>
      </c>
      <c r="J162" s="11" t="s">
        <v>1424</v>
      </c>
      <c r="K162" s="54" t="s">
        <v>1908</v>
      </c>
      <c r="L162" s="11" t="s">
        <v>1613</v>
      </c>
      <c r="M162" s="11" t="s">
        <v>1808</v>
      </c>
      <c r="N162" s="11" t="s">
        <v>159</v>
      </c>
      <c r="O162" s="54" t="s">
        <v>1807</v>
      </c>
      <c r="P162" s="11" t="s">
        <v>160</v>
      </c>
      <c r="Q162" s="54" t="s">
        <v>1908</v>
      </c>
      <c r="R162" s="11" t="s">
        <v>161</v>
      </c>
      <c r="S162" s="11" t="s">
        <v>1808</v>
      </c>
      <c r="T162" s="11" t="s">
        <v>162</v>
      </c>
      <c r="U162" s="54" t="s">
        <v>1908</v>
      </c>
      <c r="V162" s="11" t="s">
        <v>1433</v>
      </c>
      <c r="W162" s="54" t="s">
        <v>1908</v>
      </c>
    </row>
    <row r="163" spans="2:23" ht="21.75" customHeight="1" x14ac:dyDescent="0.25">
      <c r="B163" s="16" t="s">
        <v>412</v>
      </c>
      <c r="C163" s="17">
        <v>400</v>
      </c>
      <c r="D163" s="11" t="s">
        <v>163</v>
      </c>
      <c r="E163" s="11" t="s">
        <v>1808</v>
      </c>
      <c r="F163" s="11" t="s">
        <v>164</v>
      </c>
      <c r="G163" s="11" t="s">
        <v>1808</v>
      </c>
      <c r="H163" s="11" t="s">
        <v>165</v>
      </c>
      <c r="I163" s="54" t="s">
        <v>1807</v>
      </c>
      <c r="J163" s="11" t="s">
        <v>166</v>
      </c>
      <c r="K163" s="54" t="s">
        <v>1908</v>
      </c>
      <c r="L163" s="11" t="s">
        <v>1614</v>
      </c>
      <c r="M163" s="54" t="s">
        <v>1807</v>
      </c>
      <c r="N163" s="11" t="s">
        <v>135</v>
      </c>
      <c r="O163" s="54" t="s">
        <v>1908</v>
      </c>
      <c r="P163" s="11" t="s">
        <v>167</v>
      </c>
      <c r="Q163" s="54" t="s">
        <v>1908</v>
      </c>
      <c r="R163" s="11" t="s">
        <v>168</v>
      </c>
      <c r="S163" s="11" t="s">
        <v>1808</v>
      </c>
      <c r="T163" s="11" t="s">
        <v>169</v>
      </c>
      <c r="U163" s="54" t="s">
        <v>1908</v>
      </c>
      <c r="V163" s="11" t="s">
        <v>171</v>
      </c>
      <c r="W163" s="54" t="s">
        <v>1908</v>
      </c>
    </row>
    <row r="164" spans="2:23" ht="21.75" customHeight="1" x14ac:dyDescent="0.25">
      <c r="B164" s="16" t="s">
        <v>412</v>
      </c>
      <c r="C164" s="18">
        <v>500</v>
      </c>
      <c r="D164" s="11" t="s">
        <v>172</v>
      </c>
      <c r="E164" s="11" t="s">
        <v>1808</v>
      </c>
      <c r="F164" s="11" t="s">
        <v>173</v>
      </c>
      <c r="G164" s="11" t="s">
        <v>1808</v>
      </c>
      <c r="H164" s="11" t="s">
        <v>174</v>
      </c>
      <c r="I164" s="54" t="s">
        <v>1807</v>
      </c>
      <c r="J164" s="11" t="s">
        <v>175</v>
      </c>
      <c r="K164" s="54" t="s">
        <v>1908</v>
      </c>
      <c r="L164" s="11" t="s">
        <v>1615</v>
      </c>
      <c r="M164" s="11" t="s">
        <v>1808</v>
      </c>
      <c r="N164" s="11" t="s">
        <v>176</v>
      </c>
      <c r="O164" s="54" t="s">
        <v>1908</v>
      </c>
      <c r="P164" s="11" t="s">
        <v>1616</v>
      </c>
      <c r="Q164" s="54" t="s">
        <v>1908</v>
      </c>
      <c r="R164" s="11" t="s">
        <v>177</v>
      </c>
      <c r="S164" s="11" t="s">
        <v>1808</v>
      </c>
      <c r="T164" s="11" t="s">
        <v>178</v>
      </c>
      <c r="U164" s="54" t="s">
        <v>1908</v>
      </c>
      <c r="V164" s="11" t="s">
        <v>179</v>
      </c>
      <c r="W164" s="54" t="s">
        <v>1908</v>
      </c>
    </row>
    <row r="165" spans="2:23" ht="21.75" customHeight="1" x14ac:dyDescent="0.25">
      <c r="B165" s="16"/>
      <c r="C165" s="18"/>
      <c r="D165" s="11"/>
      <c r="E165" s="11"/>
      <c r="F165" s="11"/>
      <c r="G165" s="11"/>
      <c r="H165" s="11"/>
      <c r="I165" s="11"/>
      <c r="J165" s="11"/>
      <c r="K165" s="11"/>
      <c r="L165" s="11"/>
      <c r="M165" s="11"/>
      <c r="N165" s="11"/>
      <c r="O165" s="11"/>
      <c r="P165" s="11"/>
      <c r="Q165" s="11"/>
      <c r="R165" s="11"/>
      <c r="S165" s="11"/>
      <c r="T165" s="11"/>
      <c r="U165" s="11"/>
      <c r="V165" s="11"/>
    </row>
    <row r="166" spans="2:23" ht="21.75" customHeight="1" x14ac:dyDescent="0.25">
      <c r="B166" s="16" t="s">
        <v>1031</v>
      </c>
      <c r="C166" s="17">
        <v>100</v>
      </c>
      <c r="D166" s="11" t="s">
        <v>180</v>
      </c>
      <c r="E166" s="54" t="s">
        <v>1908</v>
      </c>
      <c r="F166" s="11" t="s">
        <v>181</v>
      </c>
      <c r="G166" s="11" t="s">
        <v>1808</v>
      </c>
      <c r="H166" s="11" t="s">
        <v>1425</v>
      </c>
      <c r="I166" s="54" t="s">
        <v>1807</v>
      </c>
      <c r="J166" s="11" t="s">
        <v>1426</v>
      </c>
      <c r="K166" s="54" t="s">
        <v>1807</v>
      </c>
      <c r="L166" s="11" t="s">
        <v>1617</v>
      </c>
      <c r="M166" s="11" t="s">
        <v>1808</v>
      </c>
      <c r="N166" s="11" t="s">
        <v>182</v>
      </c>
      <c r="O166" s="11" t="s">
        <v>1808</v>
      </c>
      <c r="P166" s="11" t="s">
        <v>183</v>
      </c>
      <c r="Q166" s="54" t="s">
        <v>1908</v>
      </c>
      <c r="R166" s="11" t="s">
        <v>184</v>
      </c>
      <c r="S166" s="11" t="s">
        <v>1808</v>
      </c>
      <c r="T166" s="11" t="s">
        <v>185</v>
      </c>
      <c r="U166" s="54" t="s">
        <v>1908</v>
      </c>
      <c r="V166" s="11" t="s">
        <v>1434</v>
      </c>
      <c r="W166" s="54" t="s">
        <v>1807</v>
      </c>
    </row>
    <row r="167" spans="2:23" ht="21.75" customHeight="1" x14ac:dyDescent="0.25">
      <c r="B167" s="16" t="s">
        <v>1031</v>
      </c>
      <c r="C167" s="18">
        <v>200</v>
      </c>
      <c r="D167" s="11" t="s">
        <v>187</v>
      </c>
      <c r="E167" s="54" t="s">
        <v>1908</v>
      </c>
      <c r="F167" s="11" t="s">
        <v>188</v>
      </c>
      <c r="G167" s="11" t="s">
        <v>1808</v>
      </c>
      <c r="H167" s="11" t="s">
        <v>189</v>
      </c>
      <c r="I167" s="54" t="s">
        <v>1807</v>
      </c>
      <c r="J167" s="11" t="s">
        <v>190</v>
      </c>
      <c r="K167" s="54" t="s">
        <v>1807</v>
      </c>
      <c r="L167" s="11" t="s">
        <v>1618</v>
      </c>
      <c r="M167" s="11" t="s">
        <v>1808</v>
      </c>
      <c r="N167" s="11" t="s">
        <v>191</v>
      </c>
      <c r="O167" s="54" t="s">
        <v>1807</v>
      </c>
      <c r="P167" s="11" t="s">
        <v>192</v>
      </c>
      <c r="Q167" s="54" t="s">
        <v>1908</v>
      </c>
      <c r="R167" s="11" t="s">
        <v>193</v>
      </c>
      <c r="S167" s="11" t="s">
        <v>1808</v>
      </c>
      <c r="T167" s="11" t="s">
        <v>194</v>
      </c>
      <c r="U167" s="54" t="s">
        <v>1908</v>
      </c>
      <c r="V167" s="11" t="s">
        <v>195</v>
      </c>
      <c r="W167" s="54" t="s">
        <v>1807</v>
      </c>
    </row>
    <row r="168" spans="2:23" ht="21.75" customHeight="1" x14ac:dyDescent="0.25">
      <c r="B168" s="16" t="s">
        <v>1031</v>
      </c>
      <c r="C168" s="18">
        <v>300</v>
      </c>
      <c r="D168" s="11" t="s">
        <v>196</v>
      </c>
      <c r="E168" s="54" t="s">
        <v>1807</v>
      </c>
      <c r="F168" s="11" t="s">
        <v>197</v>
      </c>
      <c r="G168" s="11" t="s">
        <v>1808</v>
      </c>
      <c r="H168" s="11" t="s">
        <v>1427</v>
      </c>
      <c r="I168" s="54" t="s">
        <v>1807</v>
      </c>
      <c r="J168" s="11" t="s">
        <v>1428</v>
      </c>
      <c r="K168" s="54" t="s">
        <v>1908</v>
      </c>
      <c r="L168" s="11" t="s">
        <v>1619</v>
      </c>
      <c r="M168" s="11" t="s">
        <v>1808</v>
      </c>
      <c r="N168" s="11" t="s">
        <v>198</v>
      </c>
      <c r="O168" s="54" t="s">
        <v>1807</v>
      </c>
      <c r="P168" s="11" t="s">
        <v>199</v>
      </c>
      <c r="Q168" s="54" t="s">
        <v>1908</v>
      </c>
      <c r="R168" s="11" t="s">
        <v>200</v>
      </c>
      <c r="S168" s="11" t="s">
        <v>1808</v>
      </c>
      <c r="T168" s="11" t="s">
        <v>201</v>
      </c>
      <c r="U168" s="54" t="s">
        <v>1908</v>
      </c>
      <c r="V168" s="11" t="s">
        <v>1435</v>
      </c>
      <c r="W168" s="54" t="s">
        <v>1908</v>
      </c>
    </row>
    <row r="169" spans="2:23" ht="21.75" customHeight="1" x14ac:dyDescent="0.25">
      <c r="B169" s="16" t="s">
        <v>1031</v>
      </c>
      <c r="C169" s="17">
        <v>400</v>
      </c>
      <c r="D169" s="11" t="s">
        <v>202</v>
      </c>
      <c r="E169" s="54" t="s">
        <v>1807</v>
      </c>
      <c r="F169" s="11" t="s">
        <v>203</v>
      </c>
      <c r="G169" s="11" t="s">
        <v>1808</v>
      </c>
      <c r="H169" s="11" t="s">
        <v>1429</v>
      </c>
      <c r="I169" s="54" t="s">
        <v>1807</v>
      </c>
      <c r="J169" s="11" t="s">
        <v>1430</v>
      </c>
      <c r="K169" s="54" t="s">
        <v>1908</v>
      </c>
      <c r="L169" s="11" t="s">
        <v>1620</v>
      </c>
      <c r="M169" s="11" t="s">
        <v>1808</v>
      </c>
      <c r="N169" s="11" t="s">
        <v>204</v>
      </c>
      <c r="O169" s="54" t="s">
        <v>1807</v>
      </c>
      <c r="P169" s="11" t="s">
        <v>1897</v>
      </c>
      <c r="Q169" s="54" t="s">
        <v>1908</v>
      </c>
      <c r="R169" s="11" t="s">
        <v>205</v>
      </c>
      <c r="S169" s="11" t="s">
        <v>1808</v>
      </c>
      <c r="T169" s="11" t="s">
        <v>206</v>
      </c>
      <c r="U169" s="54" t="s">
        <v>1908</v>
      </c>
      <c r="V169" s="11" t="s">
        <v>1898</v>
      </c>
      <c r="W169" s="54" t="s">
        <v>1908</v>
      </c>
    </row>
    <row r="170" spans="2:23" ht="21.75" customHeight="1" x14ac:dyDescent="0.25">
      <c r="B170" s="16" t="s">
        <v>1031</v>
      </c>
      <c r="C170" s="18">
        <v>500</v>
      </c>
      <c r="D170" s="11" t="s">
        <v>207</v>
      </c>
      <c r="E170" s="54" t="s">
        <v>1807</v>
      </c>
      <c r="F170" s="11" t="s">
        <v>208</v>
      </c>
      <c r="G170" s="11" t="s">
        <v>1808</v>
      </c>
      <c r="H170" s="11" t="s">
        <v>209</v>
      </c>
      <c r="I170" s="54" t="s">
        <v>1807</v>
      </c>
      <c r="J170" s="11" t="s">
        <v>210</v>
      </c>
      <c r="K170" s="54" t="s">
        <v>1807</v>
      </c>
      <c r="L170" s="11" t="s">
        <v>1621</v>
      </c>
      <c r="M170" s="11" t="s">
        <v>1808</v>
      </c>
      <c r="N170" s="11" t="s">
        <v>211</v>
      </c>
      <c r="O170" s="54" t="s">
        <v>1807</v>
      </c>
      <c r="P170" s="11" t="s">
        <v>1622</v>
      </c>
      <c r="Q170" s="54" t="s">
        <v>1908</v>
      </c>
      <c r="R170" s="11" t="s">
        <v>212</v>
      </c>
      <c r="S170" s="11" t="s">
        <v>1808</v>
      </c>
      <c r="T170" s="11" t="s">
        <v>213</v>
      </c>
      <c r="U170" s="54" t="s">
        <v>1908</v>
      </c>
      <c r="V170" s="11" t="s">
        <v>1899</v>
      </c>
      <c r="W170" s="54" t="s">
        <v>1807</v>
      </c>
    </row>
    <row r="171" spans="2:23" ht="21.75" customHeight="1" x14ac:dyDescent="0.25">
      <c r="B171" s="16"/>
      <c r="C171" s="18"/>
      <c r="D171" s="11"/>
      <c r="E171" s="11"/>
      <c r="F171" s="11"/>
      <c r="G171" s="11"/>
      <c r="H171" s="11"/>
      <c r="I171" s="11"/>
      <c r="J171" s="11"/>
      <c r="K171" s="11"/>
      <c r="L171" s="11"/>
      <c r="M171" s="11"/>
      <c r="N171" s="11"/>
      <c r="O171" s="11"/>
      <c r="P171" s="11"/>
      <c r="Q171" s="11"/>
      <c r="R171" s="11"/>
      <c r="S171" s="11"/>
      <c r="T171" s="11"/>
      <c r="U171" s="11"/>
      <c r="V171" s="11"/>
    </row>
    <row r="172" spans="2:23" ht="21.75" customHeight="1" x14ac:dyDescent="0.25">
      <c r="B172" s="16" t="s">
        <v>49</v>
      </c>
      <c r="C172" s="17">
        <v>100</v>
      </c>
      <c r="D172" s="11" t="s">
        <v>1623</v>
      </c>
      <c r="E172" s="54" t="s">
        <v>1908</v>
      </c>
      <c r="F172" s="11" t="s">
        <v>1624</v>
      </c>
      <c r="G172" s="11" t="s">
        <v>1808</v>
      </c>
      <c r="H172" s="11" t="s">
        <v>1625</v>
      </c>
      <c r="I172" s="11"/>
      <c r="J172" s="11" t="s">
        <v>1626</v>
      </c>
      <c r="K172" s="11" t="s">
        <v>1808</v>
      </c>
      <c r="L172" s="11" t="s">
        <v>1627</v>
      </c>
      <c r="M172" s="11" t="s">
        <v>1808</v>
      </c>
      <c r="N172" s="11" t="s">
        <v>1628</v>
      </c>
      <c r="O172" s="11" t="s">
        <v>1808</v>
      </c>
      <c r="P172" s="11" t="s">
        <v>1629</v>
      </c>
      <c r="Q172" s="11" t="s">
        <v>1808</v>
      </c>
      <c r="R172" s="11" t="s">
        <v>1630</v>
      </c>
      <c r="S172" s="11" t="s">
        <v>1808</v>
      </c>
      <c r="T172" s="11" t="s">
        <v>1695</v>
      </c>
      <c r="U172" s="11" t="s">
        <v>1808</v>
      </c>
      <c r="V172" s="11" t="s">
        <v>1696</v>
      </c>
      <c r="W172" s="10" t="s">
        <v>1808</v>
      </c>
    </row>
    <row r="173" spans="2:23" ht="21.75" customHeight="1" x14ac:dyDescent="0.25">
      <c r="B173" s="16" t="s">
        <v>49</v>
      </c>
      <c r="C173" s="18">
        <v>200</v>
      </c>
      <c r="D173" s="11" t="s">
        <v>1631</v>
      </c>
      <c r="E173" s="54" t="s">
        <v>1908</v>
      </c>
      <c r="F173" s="11" t="s">
        <v>1632</v>
      </c>
      <c r="G173" s="11" t="s">
        <v>1808</v>
      </c>
      <c r="H173" s="11" t="s">
        <v>1633</v>
      </c>
      <c r="I173" s="11"/>
      <c r="J173" s="11" t="s">
        <v>1634</v>
      </c>
      <c r="K173" s="11" t="s">
        <v>1808</v>
      </c>
      <c r="L173" s="11" t="s">
        <v>1635</v>
      </c>
      <c r="M173" s="11" t="s">
        <v>1808</v>
      </c>
      <c r="N173" s="11" t="s">
        <v>1636</v>
      </c>
      <c r="O173" s="11" t="s">
        <v>1808</v>
      </c>
      <c r="P173" s="11" t="s">
        <v>1637</v>
      </c>
      <c r="Q173" s="11" t="s">
        <v>1808</v>
      </c>
      <c r="R173" s="11" t="s">
        <v>1638</v>
      </c>
      <c r="S173" s="11" t="s">
        <v>1808</v>
      </c>
      <c r="T173" s="11" t="s">
        <v>1697</v>
      </c>
      <c r="U173" s="11" t="s">
        <v>1808</v>
      </c>
      <c r="V173" s="11" t="s">
        <v>1698</v>
      </c>
      <c r="W173" s="10" t="s">
        <v>1808</v>
      </c>
    </row>
    <row r="174" spans="2:23" ht="21.75" customHeight="1" x14ac:dyDescent="0.25">
      <c r="B174" s="16" t="s">
        <v>49</v>
      </c>
      <c r="C174" s="18">
        <v>300</v>
      </c>
      <c r="D174" s="11" t="s">
        <v>1639</v>
      </c>
      <c r="E174" s="54" t="s">
        <v>1807</v>
      </c>
      <c r="F174" s="11" t="s">
        <v>1640</v>
      </c>
      <c r="G174" s="11" t="s">
        <v>1808</v>
      </c>
      <c r="H174" s="11" t="s">
        <v>1641</v>
      </c>
      <c r="I174" s="11"/>
      <c r="J174" s="11" t="s">
        <v>1642</v>
      </c>
      <c r="K174" s="11" t="s">
        <v>1808</v>
      </c>
      <c r="L174" s="11" t="s">
        <v>1643</v>
      </c>
      <c r="M174" s="11" t="s">
        <v>1808</v>
      </c>
      <c r="N174" s="11" t="s">
        <v>1644</v>
      </c>
      <c r="O174" s="11" t="s">
        <v>1808</v>
      </c>
      <c r="P174" s="11" t="s">
        <v>1645</v>
      </c>
      <c r="Q174" s="11" t="s">
        <v>1808</v>
      </c>
      <c r="R174" s="11" t="s">
        <v>1646</v>
      </c>
      <c r="S174" s="11" t="s">
        <v>1808</v>
      </c>
      <c r="T174" s="11" t="s">
        <v>1699</v>
      </c>
      <c r="U174" s="11" t="s">
        <v>1808</v>
      </c>
      <c r="V174" s="11" t="s">
        <v>1700</v>
      </c>
      <c r="W174" s="10" t="s">
        <v>1808</v>
      </c>
    </row>
    <row r="175" spans="2:23" ht="21.75" customHeight="1" x14ac:dyDescent="0.25">
      <c r="B175" s="16" t="s">
        <v>49</v>
      </c>
      <c r="C175" s="17">
        <v>400</v>
      </c>
      <c r="D175" s="11" t="s">
        <v>1900</v>
      </c>
      <c r="E175" s="54" t="s">
        <v>1807</v>
      </c>
      <c r="F175" s="11" t="s">
        <v>1647</v>
      </c>
      <c r="G175" s="11" t="s">
        <v>1808</v>
      </c>
      <c r="H175" s="11" t="s">
        <v>1648</v>
      </c>
      <c r="I175" s="11"/>
      <c r="J175" s="11" t="s">
        <v>1649</v>
      </c>
      <c r="K175" s="11" t="s">
        <v>1808</v>
      </c>
      <c r="L175" s="11" t="s">
        <v>1650</v>
      </c>
      <c r="M175" s="11" t="s">
        <v>1808</v>
      </c>
      <c r="N175" s="11" t="s">
        <v>1651</v>
      </c>
      <c r="O175" s="54" t="s">
        <v>1808</v>
      </c>
      <c r="P175" s="11" t="s">
        <v>1652</v>
      </c>
      <c r="Q175" s="54" t="s">
        <v>1807</v>
      </c>
      <c r="R175" s="11" t="s">
        <v>1653</v>
      </c>
      <c r="S175" s="11" t="s">
        <v>1808</v>
      </c>
      <c r="T175" s="11" t="s">
        <v>1701</v>
      </c>
      <c r="U175" s="11" t="s">
        <v>1808</v>
      </c>
      <c r="V175" s="11" t="s">
        <v>1702</v>
      </c>
      <c r="W175" s="10" t="s">
        <v>1808</v>
      </c>
    </row>
    <row r="176" spans="2:23" ht="21.75" customHeight="1" x14ac:dyDescent="0.25">
      <c r="B176" s="16" t="s">
        <v>49</v>
      </c>
      <c r="C176" s="18">
        <v>500</v>
      </c>
      <c r="D176" s="11" t="s">
        <v>1901</v>
      </c>
      <c r="E176" s="54" t="s">
        <v>1908</v>
      </c>
      <c r="F176" s="11" t="s">
        <v>1654</v>
      </c>
      <c r="G176" s="11" t="s">
        <v>1808</v>
      </c>
      <c r="H176" s="11" t="s">
        <v>1655</v>
      </c>
      <c r="I176" s="11"/>
      <c r="J176" s="11" t="s">
        <v>1656</v>
      </c>
      <c r="K176" s="11" t="s">
        <v>1808</v>
      </c>
      <c r="L176" s="11" t="s">
        <v>1657</v>
      </c>
      <c r="M176" s="11" t="s">
        <v>1808</v>
      </c>
      <c r="N176" s="11" t="s">
        <v>1658</v>
      </c>
      <c r="O176" s="54" t="s">
        <v>1807</v>
      </c>
      <c r="P176" s="11" t="s">
        <v>1902</v>
      </c>
      <c r="Q176" s="54" t="s">
        <v>1908</v>
      </c>
      <c r="R176" s="11" t="s">
        <v>1659</v>
      </c>
      <c r="S176" s="11" t="s">
        <v>1808</v>
      </c>
      <c r="T176" s="11" t="s">
        <v>1703</v>
      </c>
      <c r="U176" s="11" t="s">
        <v>1808</v>
      </c>
      <c r="V176" s="11" t="s">
        <v>1704</v>
      </c>
      <c r="W176" s="10" t="s">
        <v>1808</v>
      </c>
    </row>
    <row r="177" spans="2:23" ht="21.75" customHeight="1" x14ac:dyDescent="0.25">
      <c r="B177" s="16"/>
      <c r="C177" s="18"/>
      <c r="D177" s="11"/>
      <c r="E177" s="11"/>
      <c r="F177" s="11"/>
      <c r="G177" s="11"/>
      <c r="H177" s="11"/>
      <c r="I177" s="11"/>
      <c r="J177" s="11"/>
      <c r="K177" s="11"/>
      <c r="L177" s="11"/>
      <c r="M177" s="11"/>
      <c r="N177" s="11"/>
      <c r="O177" s="11"/>
      <c r="P177" s="11"/>
      <c r="Q177" s="11"/>
      <c r="R177" s="11"/>
      <c r="S177" s="11"/>
      <c r="T177" s="11"/>
      <c r="U177" s="11"/>
      <c r="V177" s="11"/>
    </row>
    <row r="178" spans="2:23" ht="21.75" customHeight="1" x14ac:dyDescent="0.25">
      <c r="B178" s="16" t="s">
        <v>50</v>
      </c>
      <c r="C178" s="17">
        <v>100</v>
      </c>
      <c r="D178" s="11" t="s">
        <v>1903</v>
      </c>
      <c r="E178" s="54" t="s">
        <v>1908</v>
      </c>
      <c r="F178" s="11" t="s">
        <v>1660</v>
      </c>
      <c r="G178" s="11" t="s">
        <v>1808</v>
      </c>
      <c r="H178" s="11" t="s">
        <v>1661</v>
      </c>
      <c r="I178" s="11"/>
      <c r="J178" s="11" t="s">
        <v>1662</v>
      </c>
      <c r="K178" s="11" t="s">
        <v>1808</v>
      </c>
      <c r="L178" s="11" t="s">
        <v>1663</v>
      </c>
      <c r="M178" s="11" t="s">
        <v>1808</v>
      </c>
      <c r="N178" s="11" t="s">
        <v>1664</v>
      </c>
      <c r="O178" s="11" t="s">
        <v>1808</v>
      </c>
      <c r="P178" s="11" t="s">
        <v>1665</v>
      </c>
      <c r="Q178" s="11" t="s">
        <v>1808</v>
      </c>
      <c r="R178" s="11" t="s">
        <v>1666</v>
      </c>
      <c r="S178" s="11" t="s">
        <v>1808</v>
      </c>
      <c r="T178" s="11" t="s">
        <v>1705</v>
      </c>
      <c r="U178" s="11" t="s">
        <v>1808</v>
      </c>
      <c r="V178" s="11" t="s">
        <v>1706</v>
      </c>
      <c r="W178" s="10" t="s">
        <v>1808</v>
      </c>
    </row>
    <row r="179" spans="2:23" ht="21.75" customHeight="1" x14ac:dyDescent="0.25">
      <c r="B179" s="16" t="s">
        <v>50</v>
      </c>
      <c r="C179" s="18">
        <v>200</v>
      </c>
      <c r="D179" s="11" t="s">
        <v>1904</v>
      </c>
      <c r="E179" s="54" t="s">
        <v>1908</v>
      </c>
      <c r="F179" s="11" t="s">
        <v>1667</v>
      </c>
      <c r="G179" s="11" t="s">
        <v>1808</v>
      </c>
      <c r="H179" s="11" t="s">
        <v>1668</v>
      </c>
      <c r="I179" s="11"/>
      <c r="J179" s="11" t="s">
        <v>1669</v>
      </c>
      <c r="K179" s="11" t="s">
        <v>1808</v>
      </c>
      <c r="L179" s="11" t="s">
        <v>1670</v>
      </c>
      <c r="M179" s="11" t="s">
        <v>1808</v>
      </c>
      <c r="N179" s="11" t="s">
        <v>1671</v>
      </c>
      <c r="O179" s="11" t="s">
        <v>1808</v>
      </c>
      <c r="P179" s="11" t="s">
        <v>1672</v>
      </c>
      <c r="Q179" s="11" t="s">
        <v>1808</v>
      </c>
      <c r="R179" s="11" t="s">
        <v>1673</v>
      </c>
      <c r="S179" s="11" t="s">
        <v>1808</v>
      </c>
      <c r="T179" s="11" t="s">
        <v>1707</v>
      </c>
      <c r="U179" s="11" t="s">
        <v>1808</v>
      </c>
      <c r="V179" s="11" t="s">
        <v>1708</v>
      </c>
      <c r="W179" s="10" t="s">
        <v>1808</v>
      </c>
    </row>
    <row r="180" spans="2:23" ht="21.75" customHeight="1" x14ac:dyDescent="0.25">
      <c r="B180" s="16" t="s">
        <v>50</v>
      </c>
      <c r="C180" s="18">
        <v>300</v>
      </c>
      <c r="D180" s="11" t="s">
        <v>1905</v>
      </c>
      <c r="E180" s="54" t="s">
        <v>1908</v>
      </c>
      <c r="F180" s="11" t="s">
        <v>1674</v>
      </c>
      <c r="G180" s="11" t="s">
        <v>1808</v>
      </c>
      <c r="H180" s="11" t="s">
        <v>1675</v>
      </c>
      <c r="I180" s="11"/>
      <c r="J180" s="11" t="s">
        <v>1676</v>
      </c>
      <c r="K180" s="11" t="s">
        <v>1808</v>
      </c>
      <c r="L180" s="11" t="s">
        <v>1677</v>
      </c>
      <c r="M180" s="11" t="s">
        <v>1808</v>
      </c>
      <c r="N180" s="11" t="s">
        <v>1678</v>
      </c>
      <c r="O180" s="11" t="s">
        <v>1808</v>
      </c>
      <c r="P180" s="11" t="s">
        <v>1679</v>
      </c>
      <c r="Q180" s="11" t="s">
        <v>1808</v>
      </c>
      <c r="R180" s="11" t="s">
        <v>1680</v>
      </c>
      <c r="S180" s="11" t="s">
        <v>1808</v>
      </c>
      <c r="T180" s="11" t="s">
        <v>1709</v>
      </c>
      <c r="U180" s="11" t="s">
        <v>1808</v>
      </c>
      <c r="V180" s="11" t="s">
        <v>1710</v>
      </c>
      <c r="W180" s="10" t="s">
        <v>1808</v>
      </c>
    </row>
    <row r="181" spans="2:23" ht="21.75" customHeight="1" x14ac:dyDescent="0.25">
      <c r="B181" s="16" t="s">
        <v>50</v>
      </c>
      <c r="C181" s="17">
        <v>400</v>
      </c>
      <c r="D181" s="11" t="s">
        <v>1906</v>
      </c>
      <c r="E181" s="54" t="s">
        <v>1908</v>
      </c>
      <c r="F181" s="11" t="s">
        <v>1681</v>
      </c>
      <c r="G181" s="11" t="s">
        <v>1808</v>
      </c>
      <c r="H181" s="11" t="s">
        <v>1682</v>
      </c>
      <c r="I181" s="11"/>
      <c r="J181" s="11" t="s">
        <v>1683</v>
      </c>
      <c r="K181" s="11" t="s">
        <v>1808</v>
      </c>
      <c r="L181" s="11" t="s">
        <v>1684</v>
      </c>
      <c r="M181" s="11" t="s">
        <v>1808</v>
      </c>
      <c r="N181" s="11" t="s">
        <v>1685</v>
      </c>
      <c r="O181" s="11" t="s">
        <v>1808</v>
      </c>
      <c r="P181" s="11" t="s">
        <v>1686</v>
      </c>
      <c r="Q181" s="11" t="s">
        <v>1808</v>
      </c>
      <c r="R181" s="11" t="s">
        <v>1687</v>
      </c>
      <c r="S181" s="11" t="s">
        <v>1808</v>
      </c>
      <c r="T181" s="11" t="s">
        <v>1711</v>
      </c>
      <c r="U181" s="11" t="s">
        <v>1808</v>
      </c>
      <c r="V181" s="11" t="s">
        <v>1712</v>
      </c>
      <c r="W181" s="10" t="s">
        <v>1808</v>
      </c>
    </row>
    <row r="182" spans="2:23" ht="21.75" customHeight="1" x14ac:dyDescent="0.25">
      <c r="B182" s="19" t="s">
        <v>50</v>
      </c>
      <c r="C182" s="20">
        <v>500</v>
      </c>
      <c r="D182" s="14" t="s">
        <v>63</v>
      </c>
      <c r="E182" s="59" t="s">
        <v>1908</v>
      </c>
      <c r="F182" s="14" t="s">
        <v>1688</v>
      </c>
      <c r="G182" s="14" t="s">
        <v>1808</v>
      </c>
      <c r="H182" s="14" t="s">
        <v>1689</v>
      </c>
      <c r="I182" s="14"/>
      <c r="J182" s="14" t="s">
        <v>1690</v>
      </c>
      <c r="K182" s="14" t="s">
        <v>1808</v>
      </c>
      <c r="L182" s="14" t="s">
        <v>1691</v>
      </c>
      <c r="M182" s="14" t="s">
        <v>1808</v>
      </c>
      <c r="N182" s="14" t="s">
        <v>1692</v>
      </c>
      <c r="O182" s="14" t="s">
        <v>1808</v>
      </c>
      <c r="P182" s="14" t="s">
        <v>1693</v>
      </c>
      <c r="Q182" s="14" t="s">
        <v>1808</v>
      </c>
      <c r="R182" s="14" t="s">
        <v>1694</v>
      </c>
      <c r="S182" s="14" t="s">
        <v>1808</v>
      </c>
      <c r="T182" s="14" t="s">
        <v>1713</v>
      </c>
      <c r="U182" s="14" t="s">
        <v>1808</v>
      </c>
      <c r="V182" s="14" t="s">
        <v>1714</v>
      </c>
      <c r="W182" s="13" t="s">
        <v>1808</v>
      </c>
    </row>
    <row r="183" spans="2:23" ht="21.75" customHeight="1" x14ac:dyDescent="0.25">
      <c r="B183" s="100" t="s">
        <v>1909</v>
      </c>
    </row>
  </sheetData>
  <mergeCells count="1">
    <mergeCell ref="B2:V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7D34A-5B83-466C-9D11-E87E8E98D082}">
  <sheetPr codeName="Sheet14"/>
  <dimension ref="A1:W224"/>
  <sheetViews>
    <sheetView zoomScale="70" zoomScaleNormal="70" workbookViewId="0">
      <pane ySplit="3" topLeftCell="A4" activePane="bottomLeft" state="frozen"/>
      <selection activeCell="H9" sqref="H9"/>
      <selection pane="bottomLeft" activeCell="B3" sqref="B3"/>
    </sheetView>
  </sheetViews>
  <sheetFormatPr defaultColWidth="8.88671875" defaultRowHeight="24.9" customHeight="1" x14ac:dyDescent="0.25"/>
  <cols>
    <col min="1" max="1" width="6.33203125" style="1" customWidth="1"/>
    <col min="2" max="2" width="31.33203125" style="1" customWidth="1"/>
    <col min="3" max="3" width="8.88671875" style="1"/>
    <col min="4" max="4" width="18.6640625" style="1" customWidth="1"/>
    <col min="5" max="5" width="16.6640625" style="10" customWidth="1"/>
    <col min="6" max="6" width="18.6640625" style="1" customWidth="1"/>
    <col min="7" max="7" width="16.6640625" style="10" customWidth="1"/>
    <col min="8" max="8" width="18.6640625" style="1" customWidth="1"/>
    <col min="9" max="9" width="16.6640625" style="10" customWidth="1"/>
    <col min="10" max="10" width="18.6640625" style="1" customWidth="1"/>
    <col min="11" max="11" width="16.6640625" style="10" customWidth="1"/>
    <col min="12" max="12" width="18.6640625" style="1" customWidth="1"/>
    <col min="13" max="13" width="16.6640625" style="10" customWidth="1"/>
    <col min="14" max="14" width="18.6640625" style="1" customWidth="1"/>
    <col min="15" max="15" width="16.6640625" style="10" customWidth="1"/>
    <col min="16" max="16" width="18.6640625" style="1" customWidth="1"/>
    <col min="17" max="17" width="16.6640625" style="10" customWidth="1"/>
    <col min="18" max="18" width="18.6640625" style="1" customWidth="1"/>
    <col min="19" max="19" width="16.6640625" style="10" customWidth="1"/>
    <col min="20" max="20" width="18.6640625" style="1" customWidth="1"/>
    <col min="21" max="21" width="16.6640625" style="10" customWidth="1"/>
    <col min="22" max="22" width="18.6640625" style="1" customWidth="1"/>
    <col min="23" max="23" width="16.44140625" style="10" customWidth="1"/>
    <col min="24" max="16384" width="8.88671875" style="1"/>
  </cols>
  <sheetData>
    <row r="1" spans="1:23" ht="13.2" customHeight="1" x14ac:dyDescent="0.25"/>
    <row r="2" spans="1:23" ht="38.25" customHeight="1" thickBot="1" x14ac:dyDescent="0.3">
      <c r="B2" s="159" t="s">
        <v>1915</v>
      </c>
      <c r="C2" s="159"/>
      <c r="D2" s="159"/>
      <c r="E2" s="159"/>
      <c r="F2" s="159"/>
      <c r="G2" s="159"/>
      <c r="H2" s="159"/>
      <c r="I2" s="159"/>
      <c r="J2" s="159"/>
      <c r="K2" s="159"/>
      <c r="L2" s="159"/>
      <c r="M2" s="159"/>
      <c r="N2" s="159"/>
      <c r="O2" s="159"/>
      <c r="P2" s="159"/>
      <c r="Q2" s="159"/>
      <c r="R2" s="159"/>
      <c r="S2" s="159"/>
      <c r="T2" s="159"/>
      <c r="U2" s="159"/>
      <c r="V2" s="159"/>
      <c r="W2" s="3"/>
    </row>
    <row r="3" spans="1:23" s="10" customFormat="1" ht="24.9" customHeight="1" x14ac:dyDescent="0.3">
      <c r="A3" s="11"/>
      <c r="B3" s="50" t="s">
        <v>0</v>
      </c>
      <c r="C3" s="21" t="s">
        <v>1</v>
      </c>
      <c r="D3" s="21" t="s">
        <v>556</v>
      </c>
      <c r="E3" s="21" t="s">
        <v>1806</v>
      </c>
      <c r="F3" s="21" t="s">
        <v>498</v>
      </c>
      <c r="G3" s="21" t="s">
        <v>1809</v>
      </c>
      <c r="H3" s="21" t="s">
        <v>502</v>
      </c>
      <c r="I3" s="21" t="s">
        <v>1810</v>
      </c>
      <c r="J3" s="21" t="s">
        <v>559</v>
      </c>
      <c r="K3" s="21" t="s">
        <v>1811</v>
      </c>
      <c r="L3" s="21" t="s">
        <v>503</v>
      </c>
      <c r="M3" s="21" t="s">
        <v>1812</v>
      </c>
      <c r="N3" s="21" t="s">
        <v>504</v>
      </c>
      <c r="O3" s="21" t="s">
        <v>1813</v>
      </c>
      <c r="P3" s="21" t="s">
        <v>505</v>
      </c>
      <c r="Q3" s="21" t="s">
        <v>1815</v>
      </c>
      <c r="R3" s="21" t="s">
        <v>499</v>
      </c>
      <c r="S3" s="21" t="s">
        <v>1816</v>
      </c>
      <c r="T3" s="21" t="s">
        <v>561</v>
      </c>
      <c r="U3" s="21" t="s">
        <v>1817</v>
      </c>
      <c r="V3" s="21" t="s">
        <v>7</v>
      </c>
      <c r="W3" s="21" t="s">
        <v>1818</v>
      </c>
    </row>
    <row r="4" spans="1:23" ht="24.9" customHeight="1" x14ac:dyDescent="0.25">
      <c r="B4" s="16" t="s">
        <v>1014</v>
      </c>
      <c r="C4" s="17">
        <v>100</v>
      </c>
      <c r="D4" s="117">
        <v>1.308653501603733E-7</v>
      </c>
      <c r="E4" s="62" t="s">
        <v>1908</v>
      </c>
      <c r="F4" s="117">
        <v>1.1973831702422204E-6</v>
      </c>
      <c r="G4" s="62" t="s">
        <v>1807</v>
      </c>
      <c r="H4" s="117">
        <v>3.3792826364587618E-7</v>
      </c>
      <c r="I4" s="62" t="s">
        <v>1908</v>
      </c>
      <c r="J4" s="117">
        <v>1.3776027796101017E-6</v>
      </c>
      <c r="K4" s="62" t="s">
        <v>1908</v>
      </c>
      <c r="L4" s="117">
        <v>7.0424630623188296E-8</v>
      </c>
      <c r="M4" s="62" t="s">
        <v>1808</v>
      </c>
      <c r="N4" s="117" t="s">
        <v>1907</v>
      </c>
      <c r="O4" s="62" t="s">
        <v>1808</v>
      </c>
      <c r="P4" s="117">
        <v>1.3266264097907942E-7</v>
      </c>
      <c r="Q4" s="62" t="s">
        <v>1908</v>
      </c>
      <c r="R4" s="117">
        <v>1.0335376226037107E-8</v>
      </c>
      <c r="S4" s="62" t="s">
        <v>1908</v>
      </c>
      <c r="T4" s="117" t="s">
        <v>1907</v>
      </c>
      <c r="U4" s="62" t="s">
        <v>1808</v>
      </c>
      <c r="V4" s="117">
        <v>2.1623850272554378E-7</v>
      </c>
      <c r="W4" s="10" t="s">
        <v>1908</v>
      </c>
    </row>
    <row r="5" spans="1:23" ht="24.9" customHeight="1" x14ac:dyDescent="0.25">
      <c r="B5" s="16" t="s">
        <v>1014</v>
      </c>
      <c r="C5" s="18">
        <v>200</v>
      </c>
      <c r="D5" s="117">
        <v>8.4429240879590646E-7</v>
      </c>
      <c r="E5" s="62" t="s">
        <v>1807</v>
      </c>
      <c r="F5" s="117">
        <v>4.699902369639327E-6</v>
      </c>
      <c r="G5" s="62" t="s">
        <v>1808</v>
      </c>
      <c r="H5" s="117">
        <v>2.8055292831837304E-7</v>
      </c>
      <c r="I5" s="62" t="s">
        <v>1908</v>
      </c>
      <c r="J5" s="117">
        <v>4.3151082443471516E-6</v>
      </c>
      <c r="K5" s="62" t="s">
        <v>1807</v>
      </c>
      <c r="L5" s="117">
        <v>8.7809332091134553E-8</v>
      </c>
      <c r="M5" s="62" t="s">
        <v>1808</v>
      </c>
      <c r="N5" s="117" t="s">
        <v>1907</v>
      </c>
      <c r="O5" s="62" t="s">
        <v>1808</v>
      </c>
      <c r="P5" s="117">
        <v>5.4131499301583302E-8</v>
      </c>
      <c r="Q5" s="62" t="s">
        <v>1908</v>
      </c>
      <c r="R5" s="117">
        <v>2.2129467312449436E-8</v>
      </c>
      <c r="S5" s="62" t="s">
        <v>1908</v>
      </c>
      <c r="T5" s="117" t="s">
        <v>1907</v>
      </c>
      <c r="U5" s="62" t="s">
        <v>1808</v>
      </c>
      <c r="V5" s="117">
        <v>9.2772664270856022E-8</v>
      </c>
      <c r="W5" s="10" t="s">
        <v>1908</v>
      </c>
    </row>
    <row r="6" spans="1:23" ht="24.9" customHeight="1" x14ac:dyDescent="0.25">
      <c r="B6" s="16" t="s">
        <v>1014</v>
      </c>
      <c r="C6" s="18">
        <v>300</v>
      </c>
      <c r="D6" s="117">
        <v>6.4544323572238877E-6</v>
      </c>
      <c r="E6" s="62" t="s">
        <v>1808</v>
      </c>
      <c r="F6" s="117">
        <v>2.747414961438971E-5</v>
      </c>
      <c r="G6" s="62" t="s">
        <v>1808</v>
      </c>
      <c r="H6" s="117">
        <v>1.7587482988729424E-7</v>
      </c>
      <c r="I6" s="62" t="s">
        <v>1908</v>
      </c>
      <c r="J6" s="117">
        <v>8.8259657983989505E-6</v>
      </c>
      <c r="K6" s="62" t="s">
        <v>1807</v>
      </c>
      <c r="L6" s="117">
        <v>7.9650508719370648E-8</v>
      </c>
      <c r="M6" s="62" t="s">
        <v>1808</v>
      </c>
      <c r="N6" s="117" t="s">
        <v>1907</v>
      </c>
      <c r="O6" s="62" t="s">
        <v>1808</v>
      </c>
      <c r="P6" s="117">
        <v>8.0928734124412395E-8</v>
      </c>
      <c r="Q6" s="62" t="s">
        <v>1908</v>
      </c>
      <c r="R6" s="117">
        <v>2.0690073223055511E-8</v>
      </c>
      <c r="S6" s="62" t="s">
        <v>1908</v>
      </c>
      <c r="T6" s="117" t="s">
        <v>1907</v>
      </c>
      <c r="U6" s="62" t="s">
        <v>1808</v>
      </c>
      <c r="V6" s="117">
        <v>1.1949610572989293E-7</v>
      </c>
      <c r="W6" s="10" t="s">
        <v>1908</v>
      </c>
    </row>
    <row r="7" spans="1:23" ht="24.9" customHeight="1" x14ac:dyDescent="0.25">
      <c r="B7" s="16" t="s">
        <v>1014</v>
      </c>
      <c r="C7" s="17">
        <v>400</v>
      </c>
      <c r="D7" s="117">
        <v>1.0739559483938987E-5</v>
      </c>
      <c r="E7" s="62" t="s">
        <v>1808</v>
      </c>
      <c r="F7" s="117">
        <v>4.6040986517462711E-5</v>
      </c>
      <c r="G7" s="62" t="s">
        <v>1808</v>
      </c>
      <c r="H7" s="117">
        <v>1.1250308953642086E-7</v>
      </c>
      <c r="I7" s="62" t="s">
        <v>1908</v>
      </c>
      <c r="J7" s="117">
        <v>1.0716664831569827E-5</v>
      </c>
      <c r="K7" s="62" t="s">
        <v>1807</v>
      </c>
      <c r="L7" s="117">
        <v>9.5135403365381417E-8</v>
      </c>
      <c r="M7" s="62" t="s">
        <v>1808</v>
      </c>
      <c r="N7" s="117" t="s">
        <v>1907</v>
      </c>
      <c r="O7" s="62" t="s">
        <v>1808</v>
      </c>
      <c r="P7" s="117">
        <v>6.1772723076776636E-8</v>
      </c>
      <c r="Q7" s="62" t="s">
        <v>1908</v>
      </c>
      <c r="R7" s="117">
        <v>1.4876757517010958E-8</v>
      </c>
      <c r="S7" s="62" t="s">
        <v>1908</v>
      </c>
      <c r="T7" s="117" t="s">
        <v>1907</v>
      </c>
      <c r="U7" s="62" t="s">
        <v>1808</v>
      </c>
      <c r="V7" s="117">
        <v>1.1574475599534298E-7</v>
      </c>
      <c r="W7" s="10" t="s">
        <v>1908</v>
      </c>
    </row>
    <row r="8" spans="1:23" ht="24.9" customHeight="1" x14ac:dyDescent="0.25">
      <c r="B8" s="16" t="s">
        <v>1014</v>
      </c>
      <c r="C8" s="18">
        <v>500</v>
      </c>
      <c r="D8" s="117">
        <v>1.2748891812828139E-5</v>
      </c>
      <c r="E8" s="62" t="s">
        <v>1808</v>
      </c>
      <c r="F8" s="101">
        <v>5.822420850895281E-5</v>
      </c>
      <c r="G8" s="62" t="s">
        <v>1808</v>
      </c>
      <c r="H8" s="117">
        <v>3.109998435952148E-7</v>
      </c>
      <c r="I8" s="62" t="s">
        <v>1908</v>
      </c>
      <c r="J8" s="117">
        <v>1.8938510626065672E-5</v>
      </c>
      <c r="K8" s="62" t="s">
        <v>1808</v>
      </c>
      <c r="L8" s="117">
        <v>1.3429891090819423E-7</v>
      </c>
      <c r="M8" s="62" t="s">
        <v>1808</v>
      </c>
      <c r="N8" s="117">
        <v>5.6026188028486093E-10</v>
      </c>
      <c r="O8" s="62" t="s">
        <v>1908</v>
      </c>
      <c r="P8" s="117">
        <v>8.4840820913242489E-8</v>
      </c>
      <c r="Q8" s="62" t="s">
        <v>1908</v>
      </c>
      <c r="R8" s="117">
        <v>2.2829391735507796E-8</v>
      </c>
      <c r="S8" s="62" t="s">
        <v>1908</v>
      </c>
      <c r="T8" s="117">
        <v>4.0202230970859526E-10</v>
      </c>
      <c r="U8" s="62" t="s">
        <v>1908</v>
      </c>
      <c r="V8" s="117">
        <v>1.5882552630618533E-7</v>
      </c>
      <c r="W8" s="10" t="s">
        <v>1908</v>
      </c>
    </row>
    <row r="9" spans="1:23" ht="24.9" customHeight="1" x14ac:dyDescent="0.25">
      <c r="B9" s="16" t="s">
        <v>1014</v>
      </c>
      <c r="C9" s="17">
        <v>600</v>
      </c>
      <c r="D9" s="117">
        <v>2.1614907699352597E-6</v>
      </c>
      <c r="E9" s="62" t="s">
        <v>1807</v>
      </c>
      <c r="F9" s="117">
        <v>7.1770828791232819E-6</v>
      </c>
      <c r="G9" s="62" t="s">
        <v>1808</v>
      </c>
      <c r="H9" s="117">
        <v>7.7487572428883706E-8</v>
      </c>
      <c r="I9" s="62" t="s">
        <v>1908</v>
      </c>
      <c r="J9" s="117">
        <v>8.9283864731866745E-6</v>
      </c>
      <c r="K9" s="62" t="s">
        <v>1807</v>
      </c>
      <c r="L9" s="117">
        <v>8.0066613842799037E-8</v>
      </c>
      <c r="M9" s="62" t="s">
        <v>1808</v>
      </c>
      <c r="N9" s="117">
        <v>7.8241776784848117E-10</v>
      </c>
      <c r="O9" s="62" t="s">
        <v>1908</v>
      </c>
      <c r="P9" s="117">
        <v>2.32506818283554E-6</v>
      </c>
      <c r="Q9" s="62" t="s">
        <v>1807</v>
      </c>
      <c r="R9" s="117">
        <v>1.8354244625568634E-8</v>
      </c>
      <c r="S9" s="62" t="s">
        <v>1908</v>
      </c>
      <c r="T9" s="117">
        <v>3.2811503934991203E-9</v>
      </c>
      <c r="U9" s="62" t="s">
        <v>1908</v>
      </c>
      <c r="V9" s="117">
        <v>4.6957666044161765E-8</v>
      </c>
      <c r="W9" s="10" t="s">
        <v>1908</v>
      </c>
    </row>
    <row r="10" spans="1:23" ht="24.9" customHeight="1" x14ac:dyDescent="0.25">
      <c r="B10" s="16" t="s">
        <v>1014</v>
      </c>
      <c r="C10" s="18">
        <v>700</v>
      </c>
      <c r="D10" s="117">
        <v>6.3770978291877778E-6</v>
      </c>
      <c r="E10" s="62" t="s">
        <v>1808</v>
      </c>
      <c r="F10" s="117">
        <v>2.922503249224575E-5</v>
      </c>
      <c r="G10" s="62" t="s">
        <v>1808</v>
      </c>
      <c r="H10" s="117">
        <v>8.4054969942493945E-8</v>
      </c>
      <c r="I10" s="62" t="s">
        <v>1908</v>
      </c>
      <c r="J10" s="117">
        <v>1.8268778925731355E-5</v>
      </c>
      <c r="K10" s="62" t="s">
        <v>1808</v>
      </c>
      <c r="L10" s="117">
        <v>1.1743206671110367E-7</v>
      </c>
      <c r="M10" s="62" t="s">
        <v>1808</v>
      </c>
      <c r="N10" s="117">
        <v>1.7103520458813052E-9</v>
      </c>
      <c r="O10" s="62" t="s">
        <v>1908</v>
      </c>
      <c r="P10" s="117">
        <v>4.7668896210830048E-7</v>
      </c>
      <c r="Q10" s="62" t="s">
        <v>1908</v>
      </c>
      <c r="R10" s="117">
        <v>2.4306335246581039E-8</v>
      </c>
      <c r="S10" s="62" t="s">
        <v>1908</v>
      </c>
      <c r="T10" s="117">
        <v>1.7574233600306462E-9</v>
      </c>
      <c r="U10" s="62" t="s">
        <v>1908</v>
      </c>
      <c r="V10" s="117">
        <v>1.12737519271189E-7</v>
      </c>
      <c r="W10" s="10" t="s">
        <v>1908</v>
      </c>
    </row>
    <row r="11" spans="1:23" ht="24.9" customHeight="1" x14ac:dyDescent="0.25">
      <c r="B11" s="16" t="s">
        <v>1014</v>
      </c>
      <c r="C11" s="17">
        <v>800</v>
      </c>
      <c r="D11" s="117">
        <v>1.6688522028587926E-5</v>
      </c>
      <c r="E11" s="62" t="s">
        <v>1808</v>
      </c>
      <c r="F11" s="117">
        <v>7.9228312220140402E-5</v>
      </c>
      <c r="G11" s="62" t="s">
        <v>1808</v>
      </c>
      <c r="H11" s="117">
        <v>3.7487925755205441E-8</v>
      </c>
      <c r="I11" s="62" t="s">
        <v>1908</v>
      </c>
      <c r="J11" s="117">
        <v>2.7246046539194868E-5</v>
      </c>
      <c r="K11" s="62" t="s">
        <v>1808</v>
      </c>
      <c r="L11" s="117">
        <v>1.0884188070665169E-7</v>
      </c>
      <c r="M11" s="62" t="s">
        <v>1808</v>
      </c>
      <c r="N11" s="117" t="s">
        <v>1907</v>
      </c>
      <c r="O11" s="62" t="s">
        <v>1808</v>
      </c>
      <c r="P11" s="117">
        <v>2.0230278196592639E-7</v>
      </c>
      <c r="Q11" s="62" t="s">
        <v>1908</v>
      </c>
      <c r="R11" s="117">
        <v>2.9307164425072399E-8</v>
      </c>
      <c r="S11" s="62" t="s">
        <v>1908</v>
      </c>
      <c r="T11" s="117">
        <v>1.9871409751413392E-9</v>
      </c>
      <c r="U11" s="62" t="s">
        <v>1908</v>
      </c>
      <c r="V11" s="117" t="s">
        <v>1907</v>
      </c>
      <c r="W11" s="10" t="s">
        <v>1808</v>
      </c>
    </row>
    <row r="12" spans="1:23" ht="24.9" customHeight="1" x14ac:dyDescent="0.25">
      <c r="B12" s="16" t="s">
        <v>1014</v>
      </c>
      <c r="C12" s="18">
        <v>900</v>
      </c>
      <c r="D12" s="117">
        <v>1.8724553042585711E-5</v>
      </c>
      <c r="E12" s="62" t="s">
        <v>1808</v>
      </c>
      <c r="F12" s="117">
        <v>9.3004436094760217E-5</v>
      </c>
      <c r="G12" s="62" t="s">
        <v>1808</v>
      </c>
      <c r="H12" s="117">
        <v>1.5376753165970449E-7</v>
      </c>
      <c r="I12" s="62" t="s">
        <v>1908</v>
      </c>
      <c r="J12" s="117">
        <v>2.9252576383907342E-5</v>
      </c>
      <c r="K12" s="62" t="s">
        <v>1808</v>
      </c>
      <c r="L12" s="117">
        <v>9.9942790499563611E-8</v>
      </c>
      <c r="M12" s="62" t="s">
        <v>1808</v>
      </c>
      <c r="N12" s="117">
        <v>4.0553896902333618E-9</v>
      </c>
      <c r="O12" s="62" t="s">
        <v>1908</v>
      </c>
      <c r="P12" s="117" t="s">
        <v>1907</v>
      </c>
      <c r="Q12" s="62" t="s">
        <v>1808</v>
      </c>
      <c r="R12" s="117">
        <v>3.0381329337650939E-8</v>
      </c>
      <c r="S12" s="62" t="s">
        <v>1908</v>
      </c>
      <c r="T12" s="117">
        <v>4.6719592929535435E-9</v>
      </c>
      <c r="U12" s="62" t="s">
        <v>1908</v>
      </c>
      <c r="V12" s="117" t="s">
        <v>1907</v>
      </c>
      <c r="W12" s="10" t="s">
        <v>1808</v>
      </c>
    </row>
    <row r="13" spans="1:23" ht="24.9" customHeight="1" x14ac:dyDescent="0.25">
      <c r="B13" s="16" t="s">
        <v>1014</v>
      </c>
      <c r="C13" s="17">
        <v>1000</v>
      </c>
      <c r="D13" s="117">
        <v>3.5282445710292193E-5</v>
      </c>
      <c r="E13" s="62" t="s">
        <v>1808</v>
      </c>
      <c r="F13" s="117">
        <v>2.0591747768949079E-4</v>
      </c>
      <c r="G13" s="62" t="s">
        <v>1808</v>
      </c>
      <c r="H13" s="117">
        <v>1.1382855355193194E-6</v>
      </c>
      <c r="I13" s="62" t="s">
        <v>1807</v>
      </c>
      <c r="J13" s="117">
        <v>5.5857897670632052E-5</v>
      </c>
      <c r="K13" s="62" t="s">
        <v>1808</v>
      </c>
      <c r="L13" s="117">
        <v>1.213879725872251E-7</v>
      </c>
      <c r="M13" s="62" t="s">
        <v>1808</v>
      </c>
      <c r="N13" s="117">
        <v>1.6605779941799091E-9</v>
      </c>
      <c r="O13" s="62" t="s">
        <v>1908</v>
      </c>
      <c r="P13" s="117" t="s">
        <v>1907</v>
      </c>
      <c r="Q13" s="62" t="s">
        <v>1808</v>
      </c>
      <c r="R13" s="117">
        <v>4.6572674800164819E-8</v>
      </c>
      <c r="S13" s="62" t="s">
        <v>1807</v>
      </c>
      <c r="T13" s="117">
        <v>2.3893899627977353E-9</v>
      </c>
      <c r="U13" s="62" t="s">
        <v>1908</v>
      </c>
      <c r="V13" s="117">
        <v>6.7487983682668934E-7</v>
      </c>
      <c r="W13" s="10" t="s">
        <v>1807</v>
      </c>
    </row>
    <row r="14" spans="1:23" ht="24.9" customHeight="1" x14ac:dyDescent="0.25">
      <c r="B14" s="16" t="s">
        <v>1014</v>
      </c>
      <c r="C14" s="18">
        <v>1100</v>
      </c>
      <c r="D14" s="117">
        <v>2.2385255401470382E-5</v>
      </c>
      <c r="E14" s="62" t="s">
        <v>1808</v>
      </c>
      <c r="F14" s="117">
        <v>1.2126568475803856E-4</v>
      </c>
      <c r="G14" s="62" t="s">
        <v>1808</v>
      </c>
      <c r="H14" s="117" t="s">
        <v>1907</v>
      </c>
      <c r="I14" s="62" t="s">
        <v>1808</v>
      </c>
      <c r="J14" s="117">
        <v>3.7522374436389878E-5</v>
      </c>
      <c r="K14" s="62" t="s">
        <v>1808</v>
      </c>
      <c r="L14" s="117">
        <v>9.6961089459244968E-8</v>
      </c>
      <c r="M14" s="62" t="s">
        <v>1808</v>
      </c>
      <c r="N14" s="117">
        <v>3.935863918751795E-10</v>
      </c>
      <c r="O14" s="62" t="s">
        <v>1908</v>
      </c>
      <c r="P14" s="117">
        <v>8.969072735664773E-8</v>
      </c>
      <c r="Q14" s="62" t="s">
        <v>1908</v>
      </c>
      <c r="R14" s="117" t="s">
        <v>1907</v>
      </c>
      <c r="S14" s="62" t="s">
        <v>1808</v>
      </c>
      <c r="T14" s="117">
        <v>2.7200736853397527E-9</v>
      </c>
      <c r="U14" s="62" t="s">
        <v>1908</v>
      </c>
      <c r="V14" s="117" t="s">
        <v>1907</v>
      </c>
      <c r="W14" s="10" t="s">
        <v>1808</v>
      </c>
    </row>
    <row r="15" spans="1:23" ht="24.9" customHeight="1" x14ac:dyDescent="0.25">
      <c r="B15" s="16" t="s">
        <v>1014</v>
      </c>
      <c r="C15" s="17">
        <v>1200</v>
      </c>
      <c r="D15" s="117">
        <v>4.5541121586905037E-5</v>
      </c>
      <c r="E15" s="62" t="s">
        <v>1808</v>
      </c>
      <c r="F15" s="117">
        <v>2.5099899078511215E-4</v>
      </c>
      <c r="G15" s="62" t="s">
        <v>1808</v>
      </c>
      <c r="H15" s="117" t="s">
        <v>1907</v>
      </c>
      <c r="I15" s="62" t="s">
        <v>1808</v>
      </c>
      <c r="J15" s="117">
        <v>6.6082344547266608E-5</v>
      </c>
      <c r="K15" s="62" t="s">
        <v>1808</v>
      </c>
      <c r="L15" s="117">
        <v>1.1158805256630991E-7</v>
      </c>
      <c r="M15" s="62" t="s">
        <v>1808</v>
      </c>
      <c r="N15" s="117">
        <v>1.4844822861632051E-9</v>
      </c>
      <c r="O15" s="62" t="s">
        <v>1908</v>
      </c>
      <c r="P15" s="117" t="s">
        <v>1907</v>
      </c>
      <c r="Q15" s="62" t="s">
        <v>1808</v>
      </c>
      <c r="R15" s="117" t="s">
        <v>1907</v>
      </c>
      <c r="S15" s="62" t="s">
        <v>1808</v>
      </c>
      <c r="T15" s="117">
        <v>1.7683441788935669E-9</v>
      </c>
      <c r="U15" s="62" t="s">
        <v>1908</v>
      </c>
      <c r="V15" s="117" t="s">
        <v>1907</v>
      </c>
      <c r="W15" s="10" t="s">
        <v>1808</v>
      </c>
    </row>
    <row r="16" spans="1:23" ht="24.9" customHeight="1" x14ac:dyDescent="0.25">
      <c r="B16" s="16" t="s">
        <v>1014</v>
      </c>
      <c r="C16" s="18">
        <v>1300</v>
      </c>
      <c r="D16" s="117">
        <v>5.176785390150004E-5</v>
      </c>
      <c r="E16" s="62" t="s">
        <v>1808</v>
      </c>
      <c r="F16" s="117">
        <v>3.1902157694356579E-4</v>
      </c>
      <c r="G16" s="62" t="s">
        <v>1808</v>
      </c>
      <c r="H16" s="117" t="s">
        <v>1907</v>
      </c>
      <c r="I16" s="62" t="s">
        <v>1808</v>
      </c>
      <c r="J16" s="117">
        <v>7.9522364743722437E-5</v>
      </c>
      <c r="K16" s="62" t="s">
        <v>1808</v>
      </c>
      <c r="L16" s="117">
        <v>1.2182299673136422E-7</v>
      </c>
      <c r="M16" s="62" t="s">
        <v>1808</v>
      </c>
      <c r="N16" s="117">
        <v>7.8990092020191489E-10</v>
      </c>
      <c r="O16" s="62" t="s">
        <v>1908</v>
      </c>
      <c r="P16" s="117" t="s">
        <v>1907</v>
      </c>
      <c r="Q16" s="62" t="s">
        <v>1808</v>
      </c>
      <c r="R16" s="117">
        <v>1.7569572204863075E-8</v>
      </c>
      <c r="S16" s="62" t="s">
        <v>1908</v>
      </c>
      <c r="T16" s="117">
        <v>4.2206333866594023E-9</v>
      </c>
      <c r="U16" s="62" t="s">
        <v>1908</v>
      </c>
      <c r="V16" s="117" t="s">
        <v>1907</v>
      </c>
      <c r="W16" s="10" t="s">
        <v>1808</v>
      </c>
    </row>
    <row r="17" spans="2:23" ht="24.9" customHeight="1" x14ac:dyDescent="0.25">
      <c r="B17" s="16" t="s">
        <v>1014</v>
      </c>
      <c r="C17" s="17">
        <v>1400</v>
      </c>
      <c r="D17" s="117">
        <v>5.2176964281341743E-5</v>
      </c>
      <c r="E17" s="62" t="s">
        <v>1808</v>
      </c>
      <c r="F17" s="117">
        <v>3.2269905558249289E-4</v>
      </c>
      <c r="G17" s="62" t="s">
        <v>1808</v>
      </c>
      <c r="H17" s="117" t="s">
        <v>1907</v>
      </c>
      <c r="I17" s="62" t="s">
        <v>1808</v>
      </c>
      <c r="J17" s="117">
        <v>8.7484022753527623E-5</v>
      </c>
      <c r="K17" s="62" t="s">
        <v>1808</v>
      </c>
      <c r="L17" s="117">
        <v>1.1733093953182394E-7</v>
      </c>
      <c r="M17" s="62" t="s">
        <v>1808</v>
      </c>
      <c r="N17" s="117">
        <v>8.399854421240366E-8</v>
      </c>
      <c r="O17" s="62" t="s">
        <v>1808</v>
      </c>
      <c r="P17" s="117">
        <v>3.0655401212866737E-7</v>
      </c>
      <c r="Q17" s="62" t="s">
        <v>1908</v>
      </c>
      <c r="R17" s="117">
        <v>2.1387665365294617E-8</v>
      </c>
      <c r="S17" s="62" t="s">
        <v>1908</v>
      </c>
      <c r="T17" s="117">
        <v>2.6366252686330192E-9</v>
      </c>
      <c r="U17" s="62" t="s">
        <v>1908</v>
      </c>
      <c r="V17" s="117" t="s">
        <v>1907</v>
      </c>
      <c r="W17" s="10" t="s">
        <v>1808</v>
      </c>
    </row>
    <row r="18" spans="2:23" ht="24.9" customHeight="1" x14ac:dyDescent="0.25">
      <c r="B18" s="16" t="s">
        <v>1014</v>
      </c>
      <c r="C18" s="18">
        <v>1500</v>
      </c>
      <c r="D18" s="117">
        <v>4.0196663067076756E-5</v>
      </c>
      <c r="E18" s="62" t="s">
        <v>1808</v>
      </c>
      <c r="F18" s="117">
        <v>3.9049505580845251E-4</v>
      </c>
      <c r="G18" s="62" t="s">
        <v>1808</v>
      </c>
      <c r="H18" s="117">
        <v>1.4247853331848276E-6</v>
      </c>
      <c r="I18" s="62" t="s">
        <v>1807</v>
      </c>
      <c r="J18" s="117">
        <v>1.8825748837118098E-4</v>
      </c>
      <c r="K18" s="62" t="s">
        <v>1808</v>
      </c>
      <c r="L18" s="117">
        <v>8.6805394094834843E-8</v>
      </c>
      <c r="M18" s="62" t="s">
        <v>1808</v>
      </c>
      <c r="N18" s="117">
        <v>9.7802491481976509E-9</v>
      </c>
      <c r="O18" s="62" t="s">
        <v>1807</v>
      </c>
      <c r="P18" s="117">
        <v>3.0142399825736076E-6</v>
      </c>
      <c r="Q18" s="62" t="s">
        <v>1807</v>
      </c>
      <c r="R18" s="117">
        <v>3.1630825252037507E-8</v>
      </c>
      <c r="S18" s="62" t="s">
        <v>1807</v>
      </c>
      <c r="T18" s="117">
        <v>1.5584747742582081E-8</v>
      </c>
      <c r="U18" s="62" t="s">
        <v>1807</v>
      </c>
      <c r="V18" s="117">
        <v>8.9236498248004782E-7</v>
      </c>
      <c r="W18" s="10" t="s">
        <v>1807</v>
      </c>
    </row>
    <row r="19" spans="2:23" ht="24.9" customHeight="1" x14ac:dyDescent="0.25">
      <c r="B19" s="16" t="s">
        <v>1015</v>
      </c>
      <c r="C19" s="17">
        <v>100</v>
      </c>
      <c r="D19" s="117">
        <v>3.1069695167921867E-7</v>
      </c>
      <c r="E19" s="62" t="s">
        <v>1908</v>
      </c>
      <c r="F19" s="117">
        <v>7.8704972065866691E-6</v>
      </c>
      <c r="G19" s="62" t="s">
        <v>1808</v>
      </c>
      <c r="H19" s="117">
        <v>1.1585317649721448E-6</v>
      </c>
      <c r="I19" s="62" t="s">
        <v>1807</v>
      </c>
      <c r="J19" s="117">
        <v>8.8247893453906376E-6</v>
      </c>
      <c r="K19" s="62" t="s">
        <v>1807</v>
      </c>
      <c r="L19" s="117">
        <v>8.3242706775079581E-8</v>
      </c>
      <c r="M19" s="62" t="s">
        <v>1808</v>
      </c>
      <c r="N19" s="117" t="s">
        <v>1907</v>
      </c>
      <c r="O19" s="62" t="s">
        <v>1808</v>
      </c>
      <c r="P19" s="117" t="s">
        <v>1907</v>
      </c>
      <c r="Q19" s="62" t="s">
        <v>1808</v>
      </c>
      <c r="R19" s="117">
        <v>1.3493768361121029E-8</v>
      </c>
      <c r="S19" s="62" t="s">
        <v>1908</v>
      </c>
      <c r="T19" s="117" t="s">
        <v>1907</v>
      </c>
      <c r="U19" s="62" t="s">
        <v>1808</v>
      </c>
      <c r="V19" s="117">
        <v>6.7652157846560356E-7</v>
      </c>
      <c r="W19" s="10" t="s">
        <v>1908</v>
      </c>
    </row>
    <row r="20" spans="2:23" ht="24.9" customHeight="1" x14ac:dyDescent="0.25">
      <c r="B20" s="16" t="s">
        <v>1015</v>
      </c>
      <c r="C20" s="18">
        <v>200</v>
      </c>
      <c r="D20" s="117">
        <v>4.239141138318075E-6</v>
      </c>
      <c r="E20" s="62" t="s">
        <v>1808</v>
      </c>
      <c r="F20" s="117">
        <v>2.2744204282855E-5</v>
      </c>
      <c r="G20" s="62" t="s">
        <v>1808</v>
      </c>
      <c r="H20" s="117" t="s">
        <v>1907</v>
      </c>
      <c r="I20" s="62" t="s">
        <v>1808</v>
      </c>
      <c r="J20" s="117">
        <v>1.6145008172371561E-5</v>
      </c>
      <c r="K20" s="62" t="s">
        <v>1808</v>
      </c>
      <c r="L20" s="117">
        <v>9.7372311779741616E-8</v>
      </c>
      <c r="M20" s="62" t="s">
        <v>1808</v>
      </c>
      <c r="N20" s="117">
        <v>5.1950220900234474E-9</v>
      </c>
      <c r="O20" s="62" t="s">
        <v>1908</v>
      </c>
      <c r="P20" s="117" t="s">
        <v>1907</v>
      </c>
      <c r="Q20" s="62" t="s">
        <v>1808</v>
      </c>
      <c r="R20" s="117">
        <v>3.1586575300242823E-8</v>
      </c>
      <c r="S20" s="62" t="s">
        <v>1908</v>
      </c>
      <c r="T20" s="117" t="s">
        <v>1907</v>
      </c>
      <c r="U20" s="62" t="s">
        <v>1808</v>
      </c>
      <c r="V20" s="117">
        <v>5.5871543841300019E-8</v>
      </c>
      <c r="W20" s="10" t="s">
        <v>1908</v>
      </c>
    </row>
    <row r="21" spans="2:23" ht="24.9" customHeight="1" x14ac:dyDescent="0.25">
      <c r="B21" s="16" t="s">
        <v>1015</v>
      </c>
      <c r="C21" s="18">
        <v>300</v>
      </c>
      <c r="D21" s="117">
        <v>5.2852893370443199E-6</v>
      </c>
      <c r="E21" s="62" t="s">
        <v>1808</v>
      </c>
      <c r="F21" s="117">
        <v>4.0503839346732398E-5</v>
      </c>
      <c r="G21" s="62" t="s">
        <v>1808</v>
      </c>
      <c r="H21" s="117">
        <v>4.8602378848600388E-7</v>
      </c>
      <c r="I21" s="62" t="s">
        <v>1908</v>
      </c>
      <c r="J21" s="117">
        <v>1.8910273098778706E-5</v>
      </c>
      <c r="K21" s="62" t="s">
        <v>1808</v>
      </c>
      <c r="L21" s="117">
        <v>9.9718844468563285E-8</v>
      </c>
      <c r="M21" s="62" t="s">
        <v>1808</v>
      </c>
      <c r="N21" s="117">
        <v>4.6232000201858584E-9</v>
      </c>
      <c r="O21" s="62" t="s">
        <v>1908</v>
      </c>
      <c r="P21" s="117" t="s">
        <v>1907</v>
      </c>
      <c r="Q21" s="62" t="s">
        <v>1808</v>
      </c>
      <c r="R21" s="117">
        <v>3.1243059058773743E-8</v>
      </c>
      <c r="S21" s="62" t="s">
        <v>1908</v>
      </c>
      <c r="T21" s="117" t="s">
        <v>1907</v>
      </c>
      <c r="U21" s="62" t="s">
        <v>1808</v>
      </c>
      <c r="V21" s="117">
        <v>2.6356410077779749E-7</v>
      </c>
      <c r="W21" s="10" t="s">
        <v>1908</v>
      </c>
    </row>
    <row r="22" spans="2:23" ht="24.9" customHeight="1" x14ac:dyDescent="0.25">
      <c r="B22" s="16" t="s">
        <v>1015</v>
      </c>
      <c r="C22" s="17">
        <v>400</v>
      </c>
      <c r="D22" s="117">
        <v>7.3914575914983284E-6</v>
      </c>
      <c r="E22" s="62" t="s">
        <v>1808</v>
      </c>
      <c r="F22" s="117">
        <v>5.3525290104677043E-5</v>
      </c>
      <c r="G22" s="62" t="s">
        <v>1808</v>
      </c>
      <c r="H22" s="117">
        <v>1.8647564769865638E-7</v>
      </c>
      <c r="I22" s="62" t="s">
        <v>1908</v>
      </c>
      <c r="J22" s="117">
        <v>2.9660684344390784E-5</v>
      </c>
      <c r="K22" s="62" t="s">
        <v>1808</v>
      </c>
      <c r="L22" s="117">
        <v>1.1830867473581119E-7</v>
      </c>
      <c r="M22" s="62" t="s">
        <v>1808</v>
      </c>
      <c r="N22" s="117">
        <v>1.7053859797285833E-10</v>
      </c>
      <c r="O22" s="62" t="s">
        <v>1908</v>
      </c>
      <c r="P22" s="117" t="s">
        <v>1907</v>
      </c>
      <c r="Q22" s="62" t="s">
        <v>1808</v>
      </c>
      <c r="R22" s="117">
        <v>3.4342090769111587E-8</v>
      </c>
      <c r="S22" s="62" t="s">
        <v>1908</v>
      </c>
      <c r="T22" s="117">
        <v>8.0075169924298527E-10</v>
      </c>
      <c r="U22" s="62" t="s">
        <v>1908</v>
      </c>
      <c r="V22" s="117">
        <v>5.4928388550196549E-8</v>
      </c>
      <c r="W22" s="10" t="s">
        <v>1908</v>
      </c>
    </row>
    <row r="23" spans="2:23" ht="24.9" customHeight="1" x14ac:dyDescent="0.25">
      <c r="B23" s="16" t="s">
        <v>1015</v>
      </c>
      <c r="C23" s="18">
        <v>500</v>
      </c>
      <c r="D23" s="117">
        <v>9.2960957826907545E-6</v>
      </c>
      <c r="E23" s="62" t="s">
        <v>1808</v>
      </c>
      <c r="F23" s="117">
        <v>6.1316087120988179E-5</v>
      </c>
      <c r="G23" s="62" t="s">
        <v>1808</v>
      </c>
      <c r="H23" s="117">
        <v>1.3967317004217567E-6</v>
      </c>
      <c r="I23" s="62" t="s">
        <v>1807</v>
      </c>
      <c r="J23" s="117">
        <v>4.3336315942048267E-5</v>
      </c>
      <c r="K23" s="62" t="s">
        <v>1808</v>
      </c>
      <c r="L23" s="117">
        <v>1.1386825494850459E-7</v>
      </c>
      <c r="M23" s="62" t="s">
        <v>1808</v>
      </c>
      <c r="N23" s="117">
        <v>1.9750396310671677E-9</v>
      </c>
      <c r="O23" s="62" t="s">
        <v>1908</v>
      </c>
      <c r="P23" s="117" t="s">
        <v>1907</v>
      </c>
      <c r="Q23" s="62" t="s">
        <v>1808</v>
      </c>
      <c r="R23" s="117">
        <v>4.6579151629410312E-8</v>
      </c>
      <c r="S23" s="62" t="s">
        <v>1908</v>
      </c>
      <c r="T23" s="117">
        <v>1.2500364256805242E-9</v>
      </c>
      <c r="U23" s="62" t="s">
        <v>1908</v>
      </c>
      <c r="V23" s="117">
        <v>4.7701416950785257E-7</v>
      </c>
      <c r="W23" s="10" t="s">
        <v>1908</v>
      </c>
    </row>
    <row r="24" spans="2:23" ht="24.9" customHeight="1" x14ac:dyDescent="0.25">
      <c r="B24" s="16" t="s">
        <v>1016</v>
      </c>
      <c r="C24" s="17">
        <v>100</v>
      </c>
      <c r="D24" s="117">
        <v>4.5001382137981183E-7</v>
      </c>
      <c r="E24" s="62" t="s">
        <v>1908</v>
      </c>
      <c r="F24" s="117">
        <v>1.3889803856130437E-5</v>
      </c>
      <c r="G24" s="62" t="s">
        <v>1808</v>
      </c>
      <c r="H24" s="117">
        <v>2.8124673950154889E-7</v>
      </c>
      <c r="I24" s="62" t="s">
        <v>1908</v>
      </c>
      <c r="J24" s="117">
        <v>1.0685303919028331E-5</v>
      </c>
      <c r="K24" s="62" t="s">
        <v>1807</v>
      </c>
      <c r="L24" s="117">
        <v>8.8339112071701382E-8</v>
      </c>
      <c r="M24" s="62" t="s">
        <v>1808</v>
      </c>
      <c r="N24" s="117">
        <v>2.0807870368741654E-9</v>
      </c>
      <c r="O24" s="62" t="s">
        <v>1908</v>
      </c>
      <c r="P24" s="117">
        <v>1.0071995801512634E-6</v>
      </c>
      <c r="Q24" s="62" t="s">
        <v>1908</v>
      </c>
      <c r="R24" s="117">
        <v>2.2755054692998466E-8</v>
      </c>
      <c r="S24" s="62" t="s">
        <v>1908</v>
      </c>
      <c r="T24" s="117">
        <v>2.6092432232583631E-9</v>
      </c>
      <c r="U24" s="62" t="s">
        <v>1908</v>
      </c>
      <c r="V24" s="117">
        <v>2.1324076897054594E-7</v>
      </c>
      <c r="W24" s="10" t="s">
        <v>1908</v>
      </c>
    </row>
    <row r="25" spans="2:23" ht="24.9" customHeight="1" x14ac:dyDescent="0.25">
      <c r="B25" s="16" t="s">
        <v>1016</v>
      </c>
      <c r="C25" s="18">
        <v>200</v>
      </c>
      <c r="D25" s="117">
        <v>9.1896050879091342E-7</v>
      </c>
      <c r="E25" s="62" t="s">
        <v>1908</v>
      </c>
      <c r="F25" s="117">
        <v>1.4712557383972835E-5</v>
      </c>
      <c r="G25" s="62" t="s">
        <v>1808</v>
      </c>
      <c r="H25" s="117">
        <v>1.3709770337752326E-7</v>
      </c>
      <c r="I25" s="62" t="s">
        <v>1908</v>
      </c>
      <c r="J25" s="117">
        <v>2.0355827812437828E-5</v>
      </c>
      <c r="K25" s="62" t="s">
        <v>1808</v>
      </c>
      <c r="L25" s="117">
        <v>9.2804385873236158E-8</v>
      </c>
      <c r="M25" s="62" t="s">
        <v>1808</v>
      </c>
      <c r="N25" s="117">
        <v>2.0275614229951659E-8</v>
      </c>
      <c r="O25" s="62" t="s">
        <v>1807</v>
      </c>
      <c r="P25" s="117">
        <v>6.008070093665976E-7</v>
      </c>
      <c r="Q25" s="62" t="s">
        <v>1908</v>
      </c>
      <c r="R25" s="117">
        <v>3.0335845929558541E-8</v>
      </c>
      <c r="S25" s="62" t="s">
        <v>1908</v>
      </c>
      <c r="T25" s="117">
        <v>1.8524698412125631E-9</v>
      </c>
      <c r="U25" s="62" t="s">
        <v>1908</v>
      </c>
      <c r="V25" s="117">
        <v>8.7437171524923512E-8</v>
      </c>
      <c r="W25" s="10" t="s">
        <v>1908</v>
      </c>
    </row>
    <row r="26" spans="2:23" ht="24.9" customHeight="1" x14ac:dyDescent="0.25">
      <c r="B26" s="16" t="s">
        <v>1016</v>
      </c>
      <c r="C26" s="18">
        <v>300</v>
      </c>
      <c r="D26" s="117">
        <v>1.2819104075013725E-6</v>
      </c>
      <c r="E26" s="62" t="s">
        <v>1807</v>
      </c>
      <c r="F26" s="117">
        <v>1.0670402960963066E-5</v>
      </c>
      <c r="G26" s="62" t="s">
        <v>1808</v>
      </c>
      <c r="H26" s="117">
        <v>2.4891643085819981E-7</v>
      </c>
      <c r="I26" s="62" t="s">
        <v>1908</v>
      </c>
      <c r="J26" s="117">
        <v>4.3064368853780533E-5</v>
      </c>
      <c r="K26" s="62" t="s">
        <v>1808</v>
      </c>
      <c r="L26" s="117">
        <v>9.0339414892128471E-8</v>
      </c>
      <c r="M26" s="62" t="s">
        <v>1808</v>
      </c>
      <c r="N26" s="117">
        <v>1.3942739453523296E-9</v>
      </c>
      <c r="O26" s="62" t="s">
        <v>1908</v>
      </c>
      <c r="P26" s="117">
        <v>1.3522197856972229E-6</v>
      </c>
      <c r="Q26" s="62" t="s">
        <v>1908</v>
      </c>
      <c r="R26" s="117">
        <v>3.6009163973941125E-8</v>
      </c>
      <c r="S26" s="62" t="s">
        <v>1908</v>
      </c>
      <c r="T26" s="117">
        <v>2.384151717426628E-9</v>
      </c>
      <c r="U26" s="62" t="s">
        <v>1908</v>
      </c>
      <c r="V26" s="117">
        <v>1.8815855845027527E-7</v>
      </c>
      <c r="W26" s="10" t="s">
        <v>1908</v>
      </c>
    </row>
    <row r="27" spans="2:23" ht="24.9" customHeight="1" x14ac:dyDescent="0.25">
      <c r="B27" s="16" t="s">
        <v>1016</v>
      </c>
      <c r="C27" s="17">
        <v>400</v>
      </c>
      <c r="D27" s="117">
        <v>2.3749081218753252E-6</v>
      </c>
      <c r="E27" s="62" t="s">
        <v>1807</v>
      </c>
      <c r="F27" s="117">
        <v>1.5848523118469405E-5</v>
      </c>
      <c r="G27" s="62" t="s">
        <v>1808</v>
      </c>
      <c r="H27" s="117">
        <v>5.3813504767035877E-7</v>
      </c>
      <c r="I27" s="62" t="s">
        <v>1908</v>
      </c>
      <c r="J27" s="117">
        <v>2.6476176310356118E-5</v>
      </c>
      <c r="K27" s="62" t="s">
        <v>1808</v>
      </c>
      <c r="L27" s="117">
        <v>1.1421428463945953E-7</v>
      </c>
      <c r="M27" s="62" t="s">
        <v>1808</v>
      </c>
      <c r="N27" s="117" t="s">
        <v>1907</v>
      </c>
      <c r="O27" s="62" t="s">
        <v>1808</v>
      </c>
      <c r="P27" s="117">
        <v>4.0548944522971556E-7</v>
      </c>
      <c r="Q27" s="62" t="s">
        <v>1908</v>
      </c>
      <c r="R27" s="117">
        <v>3.3723649063361243E-8</v>
      </c>
      <c r="S27" s="62" t="s">
        <v>1908</v>
      </c>
      <c r="T27" s="117">
        <v>3.758666410778172E-9</v>
      </c>
      <c r="U27" s="62" t="s">
        <v>1908</v>
      </c>
      <c r="V27" s="117">
        <v>2.8544725848332569E-7</v>
      </c>
      <c r="W27" s="10" t="s">
        <v>1908</v>
      </c>
    </row>
    <row r="28" spans="2:23" ht="24.9" customHeight="1" x14ac:dyDescent="0.25">
      <c r="B28" s="16" t="s">
        <v>1016</v>
      </c>
      <c r="C28" s="18">
        <v>500</v>
      </c>
      <c r="D28" s="117">
        <v>4.0266900605530573E-6</v>
      </c>
      <c r="E28" s="62" t="s">
        <v>1808</v>
      </c>
      <c r="F28" s="117">
        <v>2.2487779702296671E-5</v>
      </c>
      <c r="G28" s="62" t="s">
        <v>1808</v>
      </c>
      <c r="H28" s="117">
        <v>9.5793937763433363E-8</v>
      </c>
      <c r="I28" s="62" t="s">
        <v>1908</v>
      </c>
      <c r="J28" s="117">
        <v>2.7994622280958147E-5</v>
      </c>
      <c r="K28" s="62" t="s">
        <v>1808</v>
      </c>
      <c r="L28" s="117">
        <v>9.210083763816381E-8</v>
      </c>
      <c r="M28" s="62" t="s">
        <v>1808</v>
      </c>
      <c r="N28" s="117">
        <v>5.1430500639355587E-10</v>
      </c>
      <c r="O28" s="62" t="s">
        <v>1908</v>
      </c>
      <c r="P28" s="117">
        <v>9.5761173376975215E-8</v>
      </c>
      <c r="Q28" s="62" t="s">
        <v>1908</v>
      </c>
      <c r="R28" s="117">
        <v>3.4639512338530562E-8</v>
      </c>
      <c r="S28" s="62" t="s">
        <v>1908</v>
      </c>
      <c r="T28" s="117">
        <v>2.4284504826316655E-9</v>
      </c>
      <c r="U28" s="62" t="s">
        <v>1908</v>
      </c>
      <c r="V28" s="117">
        <v>3.8569441014537692E-7</v>
      </c>
      <c r="W28" s="10" t="s">
        <v>1908</v>
      </c>
    </row>
    <row r="29" spans="2:23" ht="24.9" customHeight="1" x14ac:dyDescent="0.25">
      <c r="B29" s="16" t="s">
        <v>1017</v>
      </c>
      <c r="C29" s="17">
        <v>100</v>
      </c>
      <c r="D29" s="117">
        <v>5.9736398166722514E-6</v>
      </c>
      <c r="E29" s="62" t="s">
        <v>1808</v>
      </c>
      <c r="F29" s="117">
        <v>4.7292817631580502E-6</v>
      </c>
      <c r="G29" s="62" t="s">
        <v>1808</v>
      </c>
      <c r="H29" s="117">
        <v>9.6441109880814022E-7</v>
      </c>
      <c r="I29" s="62" t="s">
        <v>1908</v>
      </c>
      <c r="J29" s="117">
        <v>1.5388465381341537E-6</v>
      </c>
      <c r="K29" s="62" t="s">
        <v>1908</v>
      </c>
      <c r="L29" s="117">
        <v>1.8475259766927383E-7</v>
      </c>
      <c r="M29" s="62" t="s">
        <v>1808</v>
      </c>
      <c r="N29" s="117" t="s">
        <v>1907</v>
      </c>
      <c r="O29" s="62" t="s">
        <v>1808</v>
      </c>
      <c r="P29" s="117">
        <v>2.8055050986671836E-7</v>
      </c>
      <c r="Q29" s="62" t="s">
        <v>1908</v>
      </c>
      <c r="R29" s="117">
        <v>6.3720133283274787E-8</v>
      </c>
      <c r="S29" s="62" t="s">
        <v>1807</v>
      </c>
      <c r="T29" s="117">
        <v>7.3517395418393716E-11</v>
      </c>
      <c r="U29" s="62" t="s">
        <v>1908</v>
      </c>
      <c r="V29" s="117">
        <v>7.270738429211626E-7</v>
      </c>
      <c r="W29" s="10" t="s">
        <v>1807</v>
      </c>
    </row>
    <row r="30" spans="2:23" ht="24.9" customHeight="1" x14ac:dyDescent="0.25">
      <c r="B30" s="16" t="s">
        <v>1017</v>
      </c>
      <c r="C30" s="18">
        <v>200</v>
      </c>
      <c r="D30" s="117">
        <v>1.3234168868584862E-5</v>
      </c>
      <c r="E30" s="62" t="s">
        <v>1808</v>
      </c>
      <c r="F30" s="117">
        <v>1.0096309953171784E-5</v>
      </c>
      <c r="G30" s="62" t="s">
        <v>1808</v>
      </c>
      <c r="H30" s="117">
        <v>1.6907131397605022E-5</v>
      </c>
      <c r="I30" s="62" t="s">
        <v>1808</v>
      </c>
      <c r="J30" s="117">
        <v>1.1557752808527055E-5</v>
      </c>
      <c r="K30" s="62" t="s">
        <v>1807</v>
      </c>
      <c r="L30" s="117">
        <v>1.991355634207422E-7</v>
      </c>
      <c r="M30" s="62" t="s">
        <v>1808</v>
      </c>
      <c r="N30" s="117">
        <v>5.88597671541704E-8</v>
      </c>
      <c r="O30" s="62" t="s">
        <v>1808</v>
      </c>
      <c r="P30" s="117">
        <v>1.7225440405663511E-6</v>
      </c>
      <c r="Q30" s="62" t="s">
        <v>1908</v>
      </c>
      <c r="R30" s="117">
        <v>1.3012764695344138E-7</v>
      </c>
      <c r="S30" s="62" t="s">
        <v>1807</v>
      </c>
      <c r="T30" s="117">
        <v>1.1390461115190753E-8</v>
      </c>
      <c r="U30" s="62" t="s">
        <v>1908</v>
      </c>
      <c r="V30" s="117">
        <v>4.2319573949696652E-6</v>
      </c>
      <c r="W30" s="10" t="s">
        <v>1808</v>
      </c>
    </row>
    <row r="31" spans="2:23" ht="24.9" customHeight="1" x14ac:dyDescent="0.25">
      <c r="B31" s="16" t="s">
        <v>1017</v>
      </c>
      <c r="C31" s="18">
        <v>300</v>
      </c>
      <c r="D31" s="117">
        <v>1.5423227642760295E-5</v>
      </c>
      <c r="E31" s="62" t="s">
        <v>1808</v>
      </c>
      <c r="F31" s="117">
        <v>1.3104819161483686E-5</v>
      </c>
      <c r="G31" s="62" t="s">
        <v>1808</v>
      </c>
      <c r="H31" s="117">
        <v>7.5581293805273061E-7</v>
      </c>
      <c r="I31" s="62" t="s">
        <v>1908</v>
      </c>
      <c r="J31" s="117">
        <v>2.0458257995912384E-6</v>
      </c>
      <c r="K31" s="62" t="s">
        <v>1908</v>
      </c>
      <c r="L31" s="117">
        <v>2.1141481778388142E-7</v>
      </c>
      <c r="M31" s="62" t="s">
        <v>1808</v>
      </c>
      <c r="N31" s="117" t="s">
        <v>1907</v>
      </c>
      <c r="O31" s="62" t="s">
        <v>1808</v>
      </c>
      <c r="P31" s="117">
        <v>2.647870597733269E-7</v>
      </c>
      <c r="Q31" s="62" t="s">
        <v>1908</v>
      </c>
      <c r="R31" s="117">
        <v>8.5814115495555326E-8</v>
      </c>
      <c r="S31" s="62" t="s">
        <v>1807</v>
      </c>
      <c r="T31" s="117">
        <v>1.785654230070516E-10</v>
      </c>
      <c r="U31" s="62" t="s">
        <v>1908</v>
      </c>
      <c r="V31" s="117">
        <v>4.5790809068532505E-7</v>
      </c>
      <c r="W31" s="10" t="s">
        <v>1908</v>
      </c>
    </row>
    <row r="32" spans="2:23" ht="24.9" customHeight="1" x14ac:dyDescent="0.25">
      <c r="B32" s="16" t="s">
        <v>1017</v>
      </c>
      <c r="C32" s="17">
        <v>400</v>
      </c>
      <c r="D32" s="117">
        <v>6.7981309007377717E-6</v>
      </c>
      <c r="E32" s="62" t="s">
        <v>1808</v>
      </c>
      <c r="F32" s="117">
        <v>6.3698093815472786E-6</v>
      </c>
      <c r="G32" s="62" t="s">
        <v>1808</v>
      </c>
      <c r="H32" s="117">
        <v>1.9752184254799416E-7</v>
      </c>
      <c r="I32" s="62" t="s">
        <v>1908</v>
      </c>
      <c r="J32" s="117">
        <v>2.090467587579897E-6</v>
      </c>
      <c r="K32" s="62" t="s">
        <v>1908</v>
      </c>
      <c r="L32" s="117">
        <v>1.9224424824101249E-7</v>
      </c>
      <c r="M32" s="62" t="s">
        <v>1808</v>
      </c>
      <c r="N32" s="117">
        <v>2.1205050121209561E-9</v>
      </c>
      <c r="O32" s="62" t="s">
        <v>1908</v>
      </c>
      <c r="P32" s="117" t="s">
        <v>1907</v>
      </c>
      <c r="Q32" s="62" t="s">
        <v>1808</v>
      </c>
      <c r="R32" s="117">
        <v>5.898191918474569E-8</v>
      </c>
      <c r="S32" s="62" t="s">
        <v>1807</v>
      </c>
      <c r="T32" s="117">
        <v>6.7670961301451876E-10</v>
      </c>
      <c r="U32" s="62" t="s">
        <v>1908</v>
      </c>
      <c r="V32" s="117" t="s">
        <v>1907</v>
      </c>
      <c r="W32" s="10" t="s">
        <v>1808</v>
      </c>
    </row>
    <row r="33" spans="2:23" ht="24.9" customHeight="1" x14ac:dyDescent="0.25">
      <c r="B33" s="16" t="s">
        <v>1017</v>
      </c>
      <c r="C33" s="18">
        <v>500</v>
      </c>
      <c r="D33" s="117">
        <v>1.0704838007159356E-5</v>
      </c>
      <c r="E33" s="62" t="s">
        <v>1808</v>
      </c>
      <c r="F33" s="117">
        <v>5.389329954159666E-6</v>
      </c>
      <c r="G33" s="62" t="s">
        <v>1808</v>
      </c>
      <c r="H33" s="117">
        <v>3.8806907631444985E-7</v>
      </c>
      <c r="I33" s="62" t="s">
        <v>1908</v>
      </c>
      <c r="J33" s="117">
        <v>5.0919290951637811E-6</v>
      </c>
      <c r="K33" s="62" t="s">
        <v>1807</v>
      </c>
      <c r="L33" s="117">
        <v>2.1002385745018847E-7</v>
      </c>
      <c r="M33" s="62" t="s">
        <v>1808</v>
      </c>
      <c r="N33" s="117">
        <v>1.1586859495722138E-9</v>
      </c>
      <c r="O33" s="62" t="s">
        <v>1908</v>
      </c>
      <c r="P33" s="117">
        <v>3.673656687127823E-6</v>
      </c>
      <c r="Q33" s="62" t="s">
        <v>1807</v>
      </c>
      <c r="R33" s="117">
        <v>8.7496005580920801E-8</v>
      </c>
      <c r="S33" s="62" t="s">
        <v>1807</v>
      </c>
      <c r="T33" s="117">
        <v>3.2511814682720429E-9</v>
      </c>
      <c r="U33" s="62" t="s">
        <v>1908</v>
      </c>
      <c r="V33" s="117" t="s">
        <v>1907</v>
      </c>
      <c r="W33" s="10" t="s">
        <v>1808</v>
      </c>
    </row>
    <row r="34" spans="2:23" ht="24.9" customHeight="1" x14ac:dyDescent="0.25">
      <c r="B34" s="16" t="s">
        <v>1017</v>
      </c>
      <c r="C34" s="17">
        <v>600</v>
      </c>
      <c r="D34" s="117">
        <v>3.1763059306844188E-6</v>
      </c>
      <c r="E34" s="62" t="s">
        <v>1808</v>
      </c>
      <c r="F34" s="117">
        <v>1.8569603590773985E-6</v>
      </c>
      <c r="G34" s="62" t="s">
        <v>1808</v>
      </c>
      <c r="H34" s="117">
        <v>1.4324995066847744E-6</v>
      </c>
      <c r="I34" s="62" t="s">
        <v>1807</v>
      </c>
      <c r="J34" s="117">
        <v>3.7076805030562093E-6</v>
      </c>
      <c r="K34" s="62" t="s">
        <v>1807</v>
      </c>
      <c r="L34" s="117">
        <v>1.3515943376513456E-7</v>
      </c>
      <c r="M34" s="62" t="s">
        <v>1808</v>
      </c>
      <c r="N34" s="117">
        <v>1.6731619030252022E-9</v>
      </c>
      <c r="O34" s="62" t="s">
        <v>1908</v>
      </c>
      <c r="P34" s="117">
        <v>3.0759347114237148E-7</v>
      </c>
      <c r="Q34" s="62" t="s">
        <v>1908</v>
      </c>
      <c r="R34" s="117">
        <v>6.263321747926344E-8</v>
      </c>
      <c r="S34" s="62" t="s">
        <v>1807</v>
      </c>
      <c r="T34" s="117">
        <v>2.2874171625228381E-9</v>
      </c>
      <c r="U34" s="62" t="s">
        <v>1908</v>
      </c>
      <c r="V34" s="117">
        <v>9.3038704043811352E-7</v>
      </c>
      <c r="W34" s="10" t="s">
        <v>1807</v>
      </c>
    </row>
    <row r="35" spans="2:23" ht="24.9" customHeight="1" x14ac:dyDescent="0.25">
      <c r="B35" s="16" t="s">
        <v>1017</v>
      </c>
      <c r="C35" s="18">
        <v>700</v>
      </c>
      <c r="D35" s="117">
        <v>8.4621163839701319E-6</v>
      </c>
      <c r="E35" s="62" t="s">
        <v>1808</v>
      </c>
      <c r="F35" s="117">
        <v>5.6539160032709793E-6</v>
      </c>
      <c r="G35" s="62" t="s">
        <v>1808</v>
      </c>
      <c r="H35" s="117">
        <v>8.018559727777923E-7</v>
      </c>
      <c r="I35" s="62" t="s">
        <v>1908</v>
      </c>
      <c r="J35" s="117">
        <v>3.6848612060383813E-6</v>
      </c>
      <c r="K35" s="62" t="s">
        <v>1807</v>
      </c>
      <c r="L35" s="117">
        <v>1.5955254209029062E-7</v>
      </c>
      <c r="M35" s="62" t="s">
        <v>1808</v>
      </c>
      <c r="N35" s="117">
        <v>2.0581750901744783E-9</v>
      </c>
      <c r="O35" s="62" t="s">
        <v>1908</v>
      </c>
      <c r="P35" s="117">
        <v>5.9629784999652806E-7</v>
      </c>
      <c r="Q35" s="62" t="s">
        <v>1908</v>
      </c>
      <c r="R35" s="117">
        <v>6.2676337934901885E-8</v>
      </c>
      <c r="S35" s="62" t="s">
        <v>1807</v>
      </c>
      <c r="T35" s="117">
        <v>7.8521805363626954E-9</v>
      </c>
      <c r="U35" s="62" t="s">
        <v>1908</v>
      </c>
      <c r="V35" s="117">
        <v>5.7715935757161882E-7</v>
      </c>
      <c r="W35" s="10" t="s">
        <v>1908</v>
      </c>
    </row>
    <row r="36" spans="2:23" ht="24.9" customHeight="1" x14ac:dyDescent="0.25">
      <c r="B36" s="16" t="s">
        <v>1017</v>
      </c>
      <c r="C36" s="17">
        <v>800</v>
      </c>
      <c r="D36" s="117">
        <v>1.5857445859626557E-5</v>
      </c>
      <c r="E36" s="62" t="s">
        <v>1808</v>
      </c>
      <c r="F36" s="117">
        <v>2.1373284109830372E-5</v>
      </c>
      <c r="G36" s="62" t="s">
        <v>1808</v>
      </c>
      <c r="H36" s="117">
        <v>3.7692893501175563E-7</v>
      </c>
      <c r="I36" s="62" t="s">
        <v>1908</v>
      </c>
      <c r="J36" s="117">
        <v>6.573828845993302E-6</v>
      </c>
      <c r="K36" s="62" t="s">
        <v>1807</v>
      </c>
      <c r="L36" s="117">
        <v>1.9933258693669055E-7</v>
      </c>
      <c r="M36" s="62" t="s">
        <v>1808</v>
      </c>
      <c r="N36" s="117">
        <v>1.4192537045488754E-8</v>
      </c>
      <c r="O36" s="62" t="s">
        <v>1807</v>
      </c>
      <c r="P36" s="117">
        <v>8.2260979411996446E-7</v>
      </c>
      <c r="Q36" s="62" t="s">
        <v>1908</v>
      </c>
      <c r="R36" s="117">
        <v>8.4753937467777732E-8</v>
      </c>
      <c r="S36" s="62" t="s">
        <v>1807</v>
      </c>
      <c r="T36" s="117">
        <v>3.1556481846468911E-9</v>
      </c>
      <c r="U36" s="62" t="s">
        <v>1908</v>
      </c>
      <c r="V36" s="117">
        <v>2.4397264765585422E-7</v>
      </c>
      <c r="W36" s="10" t="s">
        <v>1908</v>
      </c>
    </row>
    <row r="37" spans="2:23" ht="24.9" customHeight="1" x14ac:dyDescent="0.25">
      <c r="B37" s="16" t="s">
        <v>1017</v>
      </c>
      <c r="C37" s="18">
        <v>900</v>
      </c>
      <c r="D37" s="117">
        <v>1.0738811740439197E-5</v>
      </c>
      <c r="E37" s="62" t="s">
        <v>1808</v>
      </c>
      <c r="F37" s="117">
        <v>1.4262308694105542E-5</v>
      </c>
      <c r="G37" s="62" t="s">
        <v>1808</v>
      </c>
      <c r="H37" s="117">
        <v>2.3683444650591194E-7</v>
      </c>
      <c r="I37" s="62" t="s">
        <v>1908</v>
      </c>
      <c r="J37" s="117">
        <v>3.0645527601939684E-6</v>
      </c>
      <c r="K37" s="62" t="s">
        <v>1908</v>
      </c>
      <c r="L37" s="117">
        <v>2.0725724166060183E-7</v>
      </c>
      <c r="M37" s="62" t="s">
        <v>1808</v>
      </c>
      <c r="N37" s="117" t="s">
        <v>1907</v>
      </c>
      <c r="O37" s="62" t="s">
        <v>1808</v>
      </c>
      <c r="P37" s="117">
        <v>9.1580824029598893E-8</v>
      </c>
      <c r="Q37" s="62" t="s">
        <v>1908</v>
      </c>
      <c r="R37" s="117">
        <v>7.7316264492381014E-8</v>
      </c>
      <c r="S37" s="62" t="s">
        <v>1807</v>
      </c>
      <c r="T37" s="117">
        <v>8.0077645410614713E-9</v>
      </c>
      <c r="U37" s="62" t="s">
        <v>1908</v>
      </c>
      <c r="V37" s="117">
        <v>1.4328081736946359E-7</v>
      </c>
      <c r="W37" s="10" t="s">
        <v>1908</v>
      </c>
    </row>
    <row r="38" spans="2:23" ht="24.9" customHeight="1" x14ac:dyDescent="0.25">
      <c r="B38" s="16" t="s">
        <v>1017</v>
      </c>
      <c r="C38" s="17">
        <v>1000</v>
      </c>
      <c r="D38" s="117">
        <v>3.5695667694957405E-5</v>
      </c>
      <c r="E38" s="62" t="s">
        <v>1808</v>
      </c>
      <c r="F38" s="117">
        <v>4.9843650597576074E-5</v>
      </c>
      <c r="G38" s="62" t="s">
        <v>1808</v>
      </c>
      <c r="H38" s="117">
        <v>1.4058419488585311E-6</v>
      </c>
      <c r="I38" s="62" t="s">
        <v>1807</v>
      </c>
      <c r="J38" s="117">
        <v>7.7000707096100261E-6</v>
      </c>
      <c r="K38" s="62" t="s">
        <v>1807</v>
      </c>
      <c r="L38" s="117">
        <v>2.8413307138409054E-7</v>
      </c>
      <c r="M38" s="62" t="s">
        <v>1808</v>
      </c>
      <c r="N38" s="117">
        <v>8.0200090459483106E-11</v>
      </c>
      <c r="O38" s="62" t="s">
        <v>1908</v>
      </c>
      <c r="P38" s="117">
        <v>3.4310469387483191E-7</v>
      </c>
      <c r="Q38" s="62" t="s">
        <v>1908</v>
      </c>
      <c r="R38" s="117">
        <v>1.8473700010206807E-7</v>
      </c>
      <c r="S38" s="62" t="s">
        <v>1808</v>
      </c>
      <c r="T38" s="117">
        <v>6.1450659571749747E-9</v>
      </c>
      <c r="U38" s="62" t="s">
        <v>1908</v>
      </c>
      <c r="V38" s="117">
        <v>8.5639373254450083E-7</v>
      </c>
      <c r="W38" s="10" t="s">
        <v>1807</v>
      </c>
    </row>
    <row r="39" spans="2:23" ht="24.9" customHeight="1" x14ac:dyDescent="0.25">
      <c r="B39" s="16" t="s">
        <v>1017</v>
      </c>
      <c r="C39" s="18">
        <v>1100</v>
      </c>
      <c r="D39" s="117">
        <v>7.1468803943080999E-5</v>
      </c>
      <c r="E39" s="62" t="s">
        <v>1808</v>
      </c>
      <c r="F39" s="117">
        <v>1.0971095268837791E-4</v>
      </c>
      <c r="G39" s="62" t="s">
        <v>1808</v>
      </c>
      <c r="H39" s="117">
        <v>4.0307010978441386E-7</v>
      </c>
      <c r="I39" s="62" t="s">
        <v>1908</v>
      </c>
      <c r="J39" s="117">
        <v>9.2966339177939801E-6</v>
      </c>
      <c r="K39" s="62" t="s">
        <v>1807</v>
      </c>
      <c r="L39" s="117">
        <v>2.8957283617673214E-7</v>
      </c>
      <c r="M39" s="62" t="s">
        <v>1808</v>
      </c>
      <c r="N39" s="117">
        <v>1.7533832761137207E-9</v>
      </c>
      <c r="O39" s="62" t="s">
        <v>1908</v>
      </c>
      <c r="P39" s="117">
        <v>7.4774188781668054E-7</v>
      </c>
      <c r="Q39" s="62" t="s">
        <v>1908</v>
      </c>
      <c r="R39" s="117">
        <v>1.8903205848208154E-7</v>
      </c>
      <c r="S39" s="62" t="s">
        <v>1808</v>
      </c>
      <c r="T39" s="117">
        <v>2.8908433665906327E-9</v>
      </c>
      <c r="U39" s="62" t="s">
        <v>1908</v>
      </c>
      <c r="V39" s="117">
        <v>4.4056903538857634E-7</v>
      </c>
      <c r="W39" s="10" t="s">
        <v>1908</v>
      </c>
    </row>
    <row r="40" spans="2:23" ht="24.9" customHeight="1" x14ac:dyDescent="0.25">
      <c r="B40" s="16" t="s">
        <v>1017</v>
      </c>
      <c r="C40" s="17">
        <v>1200</v>
      </c>
      <c r="D40" s="117">
        <v>1.6571388701758008E-4</v>
      </c>
      <c r="E40" s="62" t="s">
        <v>1808</v>
      </c>
      <c r="F40" s="117">
        <v>4.087826796153043E-4</v>
      </c>
      <c r="G40" s="62" t="s">
        <v>1808</v>
      </c>
      <c r="H40" s="117">
        <v>3.2711285779288341E-7</v>
      </c>
      <c r="I40" s="62" t="s">
        <v>1908</v>
      </c>
      <c r="J40" s="117">
        <v>1.8181265392691802E-5</v>
      </c>
      <c r="K40" s="62" t="s">
        <v>1808</v>
      </c>
      <c r="L40" s="117">
        <v>4.0354511229486889E-7</v>
      </c>
      <c r="M40" s="62" t="s">
        <v>1808</v>
      </c>
      <c r="N40" s="117">
        <v>8.7441038600024421E-10</v>
      </c>
      <c r="O40" s="62" t="s">
        <v>1908</v>
      </c>
      <c r="P40" s="117">
        <v>6.541342013442003E-7</v>
      </c>
      <c r="Q40" s="62" t="s">
        <v>1908</v>
      </c>
      <c r="R40" s="117">
        <v>3.4867521560046523E-7</v>
      </c>
      <c r="S40" s="62" t="s">
        <v>1808</v>
      </c>
      <c r="T40" s="117">
        <v>2.8552032383811395E-9</v>
      </c>
      <c r="U40" s="62" t="s">
        <v>1908</v>
      </c>
      <c r="V40" s="117">
        <v>4.9696578751457553E-7</v>
      </c>
      <c r="W40" s="10" t="s">
        <v>1908</v>
      </c>
    </row>
    <row r="41" spans="2:23" ht="24.9" customHeight="1" x14ac:dyDescent="0.25">
      <c r="B41" s="16" t="s">
        <v>1017</v>
      </c>
      <c r="C41" s="18">
        <v>1300</v>
      </c>
      <c r="D41" s="117">
        <v>3.501166651305063E-5</v>
      </c>
      <c r="E41" s="62" t="s">
        <v>1808</v>
      </c>
      <c r="F41" s="117">
        <v>2.0401999261481456E-4</v>
      </c>
      <c r="G41" s="62" t="s">
        <v>1808</v>
      </c>
      <c r="H41" s="117">
        <v>5.0104022453264911E-7</v>
      </c>
      <c r="I41" s="62" t="s">
        <v>1908</v>
      </c>
      <c r="J41" s="117">
        <v>1.3568239726137295E-5</v>
      </c>
      <c r="K41" s="62" t="s">
        <v>1808</v>
      </c>
      <c r="L41" s="117">
        <v>1.930777412503275E-7</v>
      </c>
      <c r="M41" s="62" t="s">
        <v>1808</v>
      </c>
      <c r="N41" s="117">
        <v>1.1172712067778937E-9</v>
      </c>
      <c r="O41" s="62" t="s">
        <v>1908</v>
      </c>
      <c r="P41" s="117">
        <v>4.1443908018342556E-7</v>
      </c>
      <c r="Q41" s="62" t="s">
        <v>1908</v>
      </c>
      <c r="R41" s="117">
        <v>1.8254903014026202E-7</v>
      </c>
      <c r="S41" s="62" t="s">
        <v>1808</v>
      </c>
      <c r="T41" s="117">
        <v>5.5680192291915696E-9</v>
      </c>
      <c r="U41" s="62" t="s">
        <v>1908</v>
      </c>
      <c r="V41" s="117">
        <v>4.8035341756152439E-7</v>
      </c>
      <c r="W41" s="10" t="s">
        <v>1807</v>
      </c>
    </row>
    <row r="42" spans="2:23" ht="24.9" customHeight="1" x14ac:dyDescent="0.25">
      <c r="B42" s="16" t="s">
        <v>1018</v>
      </c>
      <c r="C42" s="17">
        <v>100</v>
      </c>
      <c r="D42" s="117">
        <v>9.4371866671935429E-7</v>
      </c>
      <c r="E42" s="62" t="s">
        <v>1807</v>
      </c>
      <c r="F42" s="117">
        <v>8.0792105526928347E-6</v>
      </c>
      <c r="G42" s="62" t="s">
        <v>1808</v>
      </c>
      <c r="H42" s="117" t="s">
        <v>1907</v>
      </c>
      <c r="I42" s="62" t="s">
        <v>1808</v>
      </c>
      <c r="J42" s="117" t="s">
        <v>1907</v>
      </c>
      <c r="K42" s="62" t="s">
        <v>1808</v>
      </c>
      <c r="L42" s="117">
        <v>2.7569177783919063E-7</v>
      </c>
      <c r="M42" s="62" t="s">
        <v>1808</v>
      </c>
      <c r="N42" s="117" t="s">
        <v>1907</v>
      </c>
      <c r="O42" s="62" t="s">
        <v>1808</v>
      </c>
      <c r="P42" s="117" t="s">
        <v>1907</v>
      </c>
      <c r="Q42" s="62" t="s">
        <v>1808</v>
      </c>
      <c r="R42" s="117">
        <v>4.0860176225721231E-8</v>
      </c>
      <c r="S42" s="62" t="s">
        <v>1908</v>
      </c>
      <c r="T42" s="117" t="s">
        <v>1907</v>
      </c>
      <c r="U42" s="62" t="s">
        <v>1808</v>
      </c>
      <c r="V42" s="117" t="s">
        <v>1907</v>
      </c>
      <c r="W42" s="10" t="s">
        <v>1808</v>
      </c>
    </row>
    <row r="43" spans="2:23" ht="24.9" customHeight="1" x14ac:dyDescent="0.25">
      <c r="B43" s="16" t="s">
        <v>1018</v>
      </c>
      <c r="C43" s="18">
        <v>200</v>
      </c>
      <c r="D43" s="117">
        <v>1.4112013489895282E-6</v>
      </c>
      <c r="E43" s="62" t="s">
        <v>1807</v>
      </c>
      <c r="F43" s="117">
        <v>9.638770466095554E-6</v>
      </c>
      <c r="G43" s="62" t="s">
        <v>1808</v>
      </c>
      <c r="H43" s="117">
        <v>3.7526827809389117E-7</v>
      </c>
      <c r="I43" s="62" t="s">
        <v>1908</v>
      </c>
      <c r="J43" s="117">
        <v>2.2253304947508087E-6</v>
      </c>
      <c r="K43" s="62" t="s">
        <v>1908</v>
      </c>
      <c r="L43" s="117">
        <v>2.3351291118691063E-7</v>
      </c>
      <c r="M43" s="62" t="s">
        <v>1808</v>
      </c>
      <c r="N43" s="117">
        <v>1.3414016924683975E-9</v>
      </c>
      <c r="O43" s="62" t="s">
        <v>1908</v>
      </c>
      <c r="P43" s="117" t="s">
        <v>1907</v>
      </c>
      <c r="Q43" s="62" t="s">
        <v>1808</v>
      </c>
      <c r="R43" s="117">
        <v>6.1121733520543827E-8</v>
      </c>
      <c r="S43" s="62" t="s">
        <v>1807</v>
      </c>
      <c r="T43" s="117">
        <v>1.212016366692924E-10</v>
      </c>
      <c r="U43" s="62" t="s">
        <v>1908</v>
      </c>
      <c r="V43" s="117">
        <v>3.2070911990509933E-7</v>
      </c>
      <c r="W43" s="10" t="s">
        <v>1908</v>
      </c>
    </row>
    <row r="44" spans="2:23" ht="24.9" customHeight="1" x14ac:dyDescent="0.25">
      <c r="B44" s="16" t="s">
        <v>1018</v>
      </c>
      <c r="C44" s="18">
        <v>300</v>
      </c>
      <c r="D44" s="117">
        <v>2.0012340011085807E-6</v>
      </c>
      <c r="E44" s="62" t="s">
        <v>1807</v>
      </c>
      <c r="F44" s="117">
        <v>1.4628710692955449E-5</v>
      </c>
      <c r="G44" s="62" t="s">
        <v>1808</v>
      </c>
      <c r="H44" s="117">
        <v>4.1356845927411158E-6</v>
      </c>
      <c r="I44" s="62" t="s">
        <v>1808</v>
      </c>
      <c r="J44" s="117">
        <v>2.6739715760324172E-6</v>
      </c>
      <c r="K44" s="62" t="s">
        <v>1908</v>
      </c>
      <c r="L44" s="117">
        <v>2.9325697184398071E-7</v>
      </c>
      <c r="M44" s="62" t="s">
        <v>1808</v>
      </c>
      <c r="N44" s="117" t="s">
        <v>1907</v>
      </c>
      <c r="O44" s="62" t="s">
        <v>1808</v>
      </c>
      <c r="P44" s="117" t="s">
        <v>1907</v>
      </c>
      <c r="Q44" s="62" t="s">
        <v>1808</v>
      </c>
      <c r="R44" s="117">
        <v>9.9512416263938588E-8</v>
      </c>
      <c r="S44" s="62" t="s">
        <v>1807</v>
      </c>
      <c r="T44" s="117" t="s">
        <v>1907</v>
      </c>
      <c r="U44" s="62" t="s">
        <v>1808</v>
      </c>
      <c r="V44" s="117">
        <v>9.7784871626512204E-7</v>
      </c>
      <c r="W44" s="10" t="s">
        <v>1807</v>
      </c>
    </row>
    <row r="45" spans="2:23" ht="24.9" customHeight="1" x14ac:dyDescent="0.25">
      <c r="B45" s="16" t="s">
        <v>1018</v>
      </c>
      <c r="C45" s="17">
        <v>400</v>
      </c>
      <c r="D45" s="117">
        <v>3.7776586072970241E-6</v>
      </c>
      <c r="E45" s="62" t="s">
        <v>1808</v>
      </c>
      <c r="F45" s="117">
        <v>2.0689195320183009E-5</v>
      </c>
      <c r="G45" s="62" t="s">
        <v>1808</v>
      </c>
      <c r="H45" s="117" t="s">
        <v>1907</v>
      </c>
      <c r="I45" s="62" t="s">
        <v>1808</v>
      </c>
      <c r="J45" s="117">
        <v>8.319701973026809E-7</v>
      </c>
      <c r="K45" s="62" t="s">
        <v>1908</v>
      </c>
      <c r="L45" s="117">
        <v>2.8770887337561503E-7</v>
      </c>
      <c r="M45" s="62" t="s">
        <v>1808</v>
      </c>
      <c r="N45" s="117" t="s">
        <v>1907</v>
      </c>
      <c r="O45" s="62" t="s">
        <v>1808</v>
      </c>
      <c r="P45" s="117" t="s">
        <v>1907</v>
      </c>
      <c r="Q45" s="62" t="s">
        <v>1808</v>
      </c>
      <c r="R45" s="117">
        <v>9.7790596261722416E-8</v>
      </c>
      <c r="S45" s="62" t="s">
        <v>1807</v>
      </c>
      <c r="T45" s="117" t="s">
        <v>1907</v>
      </c>
      <c r="U45" s="62" t="s">
        <v>1808</v>
      </c>
      <c r="V45" s="117" t="s">
        <v>1907</v>
      </c>
      <c r="W45" s="10" t="s">
        <v>1808</v>
      </c>
    </row>
    <row r="46" spans="2:23" ht="24.9" customHeight="1" x14ac:dyDescent="0.25">
      <c r="B46" s="16" t="s">
        <v>1018</v>
      </c>
      <c r="C46" s="18">
        <v>500</v>
      </c>
      <c r="D46" s="117">
        <v>6.7878906988921855E-6</v>
      </c>
      <c r="E46" s="62" t="s">
        <v>1808</v>
      </c>
      <c r="F46" s="117">
        <v>3.4677582286833666E-5</v>
      </c>
      <c r="G46" s="62" t="s">
        <v>1808</v>
      </c>
      <c r="H46" s="117">
        <v>1.0338474589707369E-7</v>
      </c>
      <c r="I46" s="62" t="s">
        <v>1908</v>
      </c>
      <c r="J46" s="117">
        <v>2.1887970964607505E-6</v>
      </c>
      <c r="K46" s="62" t="s">
        <v>1908</v>
      </c>
      <c r="L46" s="117">
        <v>3.1555422190387897E-7</v>
      </c>
      <c r="M46" s="62" t="s">
        <v>1808</v>
      </c>
      <c r="N46" s="117">
        <v>3.1566628385522399E-9</v>
      </c>
      <c r="O46" s="62" t="s">
        <v>1908</v>
      </c>
      <c r="P46" s="117" t="s">
        <v>1907</v>
      </c>
      <c r="Q46" s="62" t="s">
        <v>1808</v>
      </c>
      <c r="R46" s="117">
        <v>1.6093698983200782E-7</v>
      </c>
      <c r="S46" s="62" t="s">
        <v>1808</v>
      </c>
      <c r="T46" s="117" t="s">
        <v>1907</v>
      </c>
      <c r="U46" s="62" t="s">
        <v>1808</v>
      </c>
      <c r="V46" s="117" t="s">
        <v>1907</v>
      </c>
      <c r="W46" s="10" t="s">
        <v>1808</v>
      </c>
    </row>
    <row r="47" spans="2:23" ht="24.9" customHeight="1" x14ac:dyDescent="0.25">
      <c r="B47" s="16" t="s">
        <v>1019</v>
      </c>
      <c r="C47" s="17">
        <v>100</v>
      </c>
      <c r="D47" s="117">
        <v>2.5216373982343635E-6</v>
      </c>
      <c r="E47" s="62" t="s">
        <v>1807</v>
      </c>
      <c r="F47" s="117">
        <v>1.5565872134641626E-5</v>
      </c>
      <c r="G47" s="62" t="s">
        <v>1808</v>
      </c>
      <c r="H47" s="117">
        <v>1.6228165416608345E-7</v>
      </c>
      <c r="I47" s="62" t="s">
        <v>1908</v>
      </c>
      <c r="J47" s="117">
        <v>2.1777751764869333E-6</v>
      </c>
      <c r="K47" s="62" t="s">
        <v>1908</v>
      </c>
      <c r="L47" s="117">
        <v>3.4683079926326343E-7</v>
      </c>
      <c r="M47" s="62" t="s">
        <v>1808</v>
      </c>
      <c r="N47" s="117" t="s">
        <v>1907</v>
      </c>
      <c r="O47" s="62" t="s">
        <v>1808</v>
      </c>
      <c r="P47" s="117" t="s">
        <v>1907</v>
      </c>
      <c r="Q47" s="62" t="s">
        <v>1808</v>
      </c>
      <c r="R47" s="117">
        <v>1.0060279955507571E-7</v>
      </c>
      <c r="S47" s="62" t="s">
        <v>1807</v>
      </c>
      <c r="T47" s="117">
        <v>1.6176965472885554E-9</v>
      </c>
      <c r="U47" s="62" t="s">
        <v>1908</v>
      </c>
      <c r="V47" s="117">
        <v>2.2476041167618282E-7</v>
      </c>
      <c r="W47" s="10" t="s">
        <v>1908</v>
      </c>
    </row>
    <row r="48" spans="2:23" ht="24.9" customHeight="1" x14ac:dyDescent="0.25">
      <c r="B48" s="16" t="s">
        <v>1019</v>
      </c>
      <c r="C48" s="18">
        <v>200</v>
      </c>
      <c r="D48" s="117">
        <v>3.7178540055626403E-6</v>
      </c>
      <c r="E48" s="62" t="s">
        <v>1808</v>
      </c>
      <c r="F48" s="117">
        <v>2.584101866609739E-5</v>
      </c>
      <c r="G48" s="62" t="s">
        <v>1808</v>
      </c>
      <c r="H48" s="117">
        <v>1.071291535430407E-6</v>
      </c>
      <c r="I48" s="62" t="s">
        <v>1807</v>
      </c>
      <c r="J48" s="117">
        <v>6.1458219325113445E-6</v>
      </c>
      <c r="K48" s="62" t="s">
        <v>1807</v>
      </c>
      <c r="L48" s="117">
        <v>4.0427901839925412E-7</v>
      </c>
      <c r="M48" s="62" t="s">
        <v>1808</v>
      </c>
      <c r="N48" s="117">
        <v>1.0261258146129549E-9</v>
      </c>
      <c r="O48" s="62" t="s">
        <v>1908</v>
      </c>
      <c r="P48" s="117">
        <v>2.1054087937949445E-6</v>
      </c>
      <c r="Q48" s="62" t="s">
        <v>1908</v>
      </c>
      <c r="R48" s="117">
        <v>1.7277530407881343E-7</v>
      </c>
      <c r="S48" s="62" t="s">
        <v>1807</v>
      </c>
      <c r="T48" s="117">
        <v>8.6932435352803156E-9</v>
      </c>
      <c r="U48" s="62" t="s">
        <v>1908</v>
      </c>
      <c r="V48" s="117">
        <v>5.3833662960930859E-7</v>
      </c>
      <c r="W48" s="10" t="s">
        <v>1908</v>
      </c>
    </row>
    <row r="49" spans="2:23" ht="24.9" customHeight="1" x14ac:dyDescent="0.25">
      <c r="B49" s="16" t="s">
        <v>1019</v>
      </c>
      <c r="C49" s="18">
        <v>300</v>
      </c>
      <c r="D49" s="117">
        <v>2.6965431952877655E-6</v>
      </c>
      <c r="E49" s="62" t="s">
        <v>1807</v>
      </c>
      <c r="F49" s="117">
        <v>2.1246350115617213E-5</v>
      </c>
      <c r="G49" s="62" t="s">
        <v>1808</v>
      </c>
      <c r="H49" s="117">
        <v>9.3693036815625156E-7</v>
      </c>
      <c r="I49" s="62" t="s">
        <v>1908</v>
      </c>
      <c r="J49" s="117">
        <v>2.6447073370592712E-6</v>
      </c>
      <c r="K49" s="62" t="s">
        <v>1908</v>
      </c>
      <c r="L49" s="117">
        <v>3.1719823026234399E-7</v>
      </c>
      <c r="M49" s="62" t="s">
        <v>1808</v>
      </c>
      <c r="N49" s="117">
        <v>5.1502843954071097E-9</v>
      </c>
      <c r="O49" s="62" t="s">
        <v>1908</v>
      </c>
      <c r="P49" s="117">
        <v>5.0409977942063965E-7</v>
      </c>
      <c r="Q49" s="62" t="s">
        <v>1908</v>
      </c>
      <c r="R49" s="117">
        <v>1.4088352660155404E-7</v>
      </c>
      <c r="S49" s="62" t="s">
        <v>1807</v>
      </c>
      <c r="T49" s="117">
        <v>7.666101046818756E-10</v>
      </c>
      <c r="U49" s="62" t="s">
        <v>1908</v>
      </c>
      <c r="V49" s="117">
        <v>1.4821286624936475E-7</v>
      </c>
      <c r="W49" s="10" t="s">
        <v>1908</v>
      </c>
    </row>
    <row r="50" spans="2:23" ht="24.9" customHeight="1" x14ac:dyDescent="0.25">
      <c r="B50" s="16" t="s">
        <v>1019</v>
      </c>
      <c r="C50" s="17">
        <v>400</v>
      </c>
      <c r="D50" s="117">
        <v>3.4590927348917467E-6</v>
      </c>
      <c r="E50" s="62" t="s">
        <v>1807</v>
      </c>
      <c r="F50" s="117">
        <v>2.662172136447968E-5</v>
      </c>
      <c r="G50" s="62" t="s">
        <v>1808</v>
      </c>
      <c r="H50" s="117">
        <v>9.7103893438314253E-7</v>
      </c>
      <c r="I50" s="62" t="s">
        <v>1908</v>
      </c>
      <c r="J50" s="117">
        <v>5.3749891993280589E-6</v>
      </c>
      <c r="K50" s="62" t="s">
        <v>1807</v>
      </c>
      <c r="L50" s="117">
        <v>4.1666003246460513E-7</v>
      </c>
      <c r="M50" s="62" t="s">
        <v>1808</v>
      </c>
      <c r="N50" s="117">
        <v>7.511292200372889E-10</v>
      </c>
      <c r="O50" s="62" t="s">
        <v>1908</v>
      </c>
      <c r="P50" s="117" t="s">
        <v>1907</v>
      </c>
      <c r="Q50" s="62" t="s">
        <v>1808</v>
      </c>
      <c r="R50" s="117">
        <v>1.7193404158566825E-7</v>
      </c>
      <c r="S50" s="62" t="s">
        <v>1807</v>
      </c>
      <c r="T50" s="117">
        <v>5.4728515241786227E-9</v>
      </c>
      <c r="U50" s="62" t="s">
        <v>1908</v>
      </c>
      <c r="V50" s="117">
        <v>4.5237195373939434E-7</v>
      </c>
      <c r="W50" s="10" t="s">
        <v>1908</v>
      </c>
    </row>
    <row r="51" spans="2:23" ht="24.9" customHeight="1" x14ac:dyDescent="0.25">
      <c r="B51" s="16" t="s">
        <v>1019</v>
      </c>
      <c r="C51" s="18">
        <v>500</v>
      </c>
      <c r="D51" s="117">
        <v>4.6529486693352127E-6</v>
      </c>
      <c r="E51" s="62" t="s">
        <v>1808</v>
      </c>
      <c r="F51" s="117">
        <v>2.9707560604894807E-5</v>
      </c>
      <c r="G51" s="62" t="s">
        <v>1808</v>
      </c>
      <c r="H51" s="117">
        <v>1.9388808228532149E-6</v>
      </c>
      <c r="I51" s="62" t="s">
        <v>1807</v>
      </c>
      <c r="J51" s="117">
        <v>4.697276257032186E-6</v>
      </c>
      <c r="K51" s="62" t="s">
        <v>1807</v>
      </c>
      <c r="L51" s="117">
        <v>3.4678296114665325E-7</v>
      </c>
      <c r="M51" s="62" t="s">
        <v>1808</v>
      </c>
      <c r="N51" s="117">
        <v>2.8456439517352054E-9</v>
      </c>
      <c r="O51" s="62" t="s">
        <v>1908</v>
      </c>
      <c r="P51" s="117">
        <v>1.5467517220386471E-6</v>
      </c>
      <c r="Q51" s="62" t="s">
        <v>1908</v>
      </c>
      <c r="R51" s="117">
        <v>1.7408081485318169E-7</v>
      </c>
      <c r="S51" s="62" t="s">
        <v>1807</v>
      </c>
      <c r="T51" s="117">
        <v>7.0903771829225351E-10</v>
      </c>
      <c r="U51" s="62" t="s">
        <v>1908</v>
      </c>
      <c r="V51" s="117">
        <v>6.624063262912927E-7</v>
      </c>
      <c r="W51" s="10" t="s">
        <v>1908</v>
      </c>
    </row>
    <row r="52" spans="2:23" ht="24.9" customHeight="1" x14ac:dyDescent="0.25">
      <c r="B52" s="16" t="s">
        <v>1021</v>
      </c>
      <c r="C52" s="17">
        <v>100</v>
      </c>
      <c r="D52" s="117">
        <v>6.7841099902875567E-6</v>
      </c>
      <c r="E52" s="62" t="s">
        <v>1808</v>
      </c>
      <c r="F52" s="117">
        <v>3.1118141133457422E-5</v>
      </c>
      <c r="G52" s="62" t="s">
        <v>1808</v>
      </c>
      <c r="H52" s="117">
        <v>9.663001075987797E-7</v>
      </c>
      <c r="I52" s="62" t="s">
        <v>1908</v>
      </c>
      <c r="J52" s="117">
        <v>3.6691506226118862E-6</v>
      </c>
      <c r="K52" s="62" t="s">
        <v>1908</v>
      </c>
      <c r="L52" s="117">
        <v>4.2375336205191199E-8</v>
      </c>
      <c r="M52" s="62" t="s">
        <v>1807</v>
      </c>
      <c r="N52" s="117" t="s">
        <v>1907</v>
      </c>
      <c r="O52" s="62" t="s">
        <v>1808</v>
      </c>
      <c r="P52" s="117">
        <v>1.2728348002305233E-7</v>
      </c>
      <c r="Q52" s="62" t="s">
        <v>1908</v>
      </c>
      <c r="R52" s="117">
        <v>4.1354626110404294E-6</v>
      </c>
      <c r="S52" s="62" t="s">
        <v>1808</v>
      </c>
      <c r="T52" s="117">
        <v>3.7438871996681695E-10</v>
      </c>
      <c r="U52" s="62" t="s">
        <v>1908</v>
      </c>
      <c r="V52" s="117">
        <v>6.3437435600408477E-7</v>
      </c>
      <c r="W52" s="10" t="s">
        <v>1908</v>
      </c>
    </row>
    <row r="53" spans="2:23" ht="24.9" customHeight="1" x14ac:dyDescent="0.25">
      <c r="B53" s="16" t="s">
        <v>1021</v>
      </c>
      <c r="C53" s="18">
        <v>200</v>
      </c>
      <c r="D53" s="117">
        <v>1.5109513415388495E-5</v>
      </c>
      <c r="E53" s="62" t="s">
        <v>1808</v>
      </c>
      <c r="F53" s="117">
        <v>6.8460135672831061E-5</v>
      </c>
      <c r="G53" s="62" t="s">
        <v>1808</v>
      </c>
      <c r="H53" s="117">
        <v>7.7965549394726685E-7</v>
      </c>
      <c r="I53" s="62" t="s">
        <v>1908</v>
      </c>
      <c r="J53" s="117">
        <v>3.0560359752108818E-6</v>
      </c>
      <c r="K53" s="62" t="s">
        <v>1908</v>
      </c>
      <c r="L53" s="117">
        <v>3.6366887544428056E-8</v>
      </c>
      <c r="M53" s="62" t="s">
        <v>1807</v>
      </c>
      <c r="N53" s="117" t="s">
        <v>1907</v>
      </c>
      <c r="O53" s="62" t="s">
        <v>1808</v>
      </c>
      <c r="P53" s="117">
        <v>1.2694403851804721E-7</v>
      </c>
      <c r="Q53" s="62" t="s">
        <v>1908</v>
      </c>
      <c r="R53" s="117">
        <v>5.3131445020609236E-6</v>
      </c>
      <c r="S53" s="62" t="s">
        <v>1808</v>
      </c>
      <c r="T53" s="117" t="s">
        <v>1907</v>
      </c>
      <c r="U53" s="62" t="s">
        <v>1808</v>
      </c>
      <c r="V53" s="117">
        <v>2.8802865483980046E-7</v>
      </c>
      <c r="W53" s="10" t="s">
        <v>1908</v>
      </c>
    </row>
    <row r="54" spans="2:23" ht="24.9" customHeight="1" x14ac:dyDescent="0.25">
      <c r="B54" s="16" t="s">
        <v>1021</v>
      </c>
      <c r="C54" s="18">
        <v>300</v>
      </c>
      <c r="D54" s="117">
        <v>1.0159580003351015E-5</v>
      </c>
      <c r="E54" s="62" t="s">
        <v>1808</v>
      </c>
      <c r="F54" s="117">
        <v>4.9967405370973982E-5</v>
      </c>
      <c r="G54" s="62" t="s">
        <v>1808</v>
      </c>
      <c r="H54" s="117">
        <v>3.4578054160011953E-7</v>
      </c>
      <c r="I54" s="62" t="s">
        <v>1908</v>
      </c>
      <c r="J54" s="117">
        <v>3.0160374524669031E-6</v>
      </c>
      <c r="K54" s="62" t="s">
        <v>1908</v>
      </c>
      <c r="L54" s="117">
        <v>3.6332637622583859E-8</v>
      </c>
      <c r="M54" s="62" t="s">
        <v>1807</v>
      </c>
      <c r="N54" s="117" t="s">
        <v>1907</v>
      </c>
      <c r="O54" s="62" t="s">
        <v>1808</v>
      </c>
      <c r="P54" s="117">
        <v>2.0556381117332184E-7</v>
      </c>
      <c r="Q54" s="62" t="s">
        <v>1908</v>
      </c>
      <c r="R54" s="117">
        <v>5.0609461560412846E-6</v>
      </c>
      <c r="S54" s="62" t="s">
        <v>1808</v>
      </c>
      <c r="T54" s="117">
        <v>8.8219140873642268E-10</v>
      </c>
      <c r="U54" s="62" t="s">
        <v>1908</v>
      </c>
      <c r="V54" s="117">
        <v>7.6680131017263537E-7</v>
      </c>
      <c r="W54" s="10" t="s">
        <v>1908</v>
      </c>
    </row>
    <row r="55" spans="2:23" ht="24.9" customHeight="1" x14ac:dyDescent="0.25">
      <c r="B55" s="16" t="s">
        <v>1021</v>
      </c>
      <c r="C55" s="17">
        <v>400</v>
      </c>
      <c r="D55" s="117">
        <v>3.6754324404373044E-6</v>
      </c>
      <c r="E55" s="62" t="s">
        <v>1808</v>
      </c>
      <c r="F55" s="117">
        <v>2.4993032443902345E-5</v>
      </c>
      <c r="G55" s="62" t="s">
        <v>1808</v>
      </c>
      <c r="H55" s="117">
        <v>2.0829402178617159E-7</v>
      </c>
      <c r="I55" s="62" t="s">
        <v>1908</v>
      </c>
      <c r="J55" s="117">
        <v>6.5979317906997113E-6</v>
      </c>
      <c r="K55" s="62" t="s">
        <v>1807</v>
      </c>
      <c r="L55" s="117">
        <v>2.6441049049292445E-8</v>
      </c>
      <c r="M55" s="62" t="s">
        <v>1807</v>
      </c>
      <c r="N55" s="117">
        <v>2.3008231150842312E-9</v>
      </c>
      <c r="O55" s="62" t="s">
        <v>1908</v>
      </c>
      <c r="P55" s="117" t="s">
        <v>1907</v>
      </c>
      <c r="Q55" s="62" t="s">
        <v>1808</v>
      </c>
      <c r="R55" s="117">
        <v>5.7765047895094971E-6</v>
      </c>
      <c r="S55" s="62" t="s">
        <v>1808</v>
      </c>
      <c r="T55" s="117">
        <v>6.7056203643304231E-10</v>
      </c>
      <c r="U55" s="62" t="s">
        <v>1908</v>
      </c>
      <c r="V55" s="117" t="s">
        <v>1907</v>
      </c>
      <c r="W55" s="10" t="s">
        <v>1808</v>
      </c>
    </row>
    <row r="56" spans="2:23" ht="24.9" customHeight="1" x14ac:dyDescent="0.25">
      <c r="B56" s="16" t="s">
        <v>1021</v>
      </c>
      <c r="C56" s="18">
        <v>500</v>
      </c>
      <c r="D56" s="117">
        <v>4.1908782513931876E-6</v>
      </c>
      <c r="E56" s="62" t="s">
        <v>1808</v>
      </c>
      <c r="F56" s="117">
        <v>3.4183144106088317E-5</v>
      </c>
      <c r="G56" s="62" t="s">
        <v>1808</v>
      </c>
      <c r="H56" s="117">
        <v>9.1925249708338053E-7</v>
      </c>
      <c r="I56" s="62" t="s">
        <v>1807</v>
      </c>
      <c r="J56" s="117">
        <v>1.6707160518447673E-5</v>
      </c>
      <c r="K56" s="62" t="s">
        <v>1808</v>
      </c>
      <c r="L56" s="117">
        <v>2.8710039783783587E-8</v>
      </c>
      <c r="M56" s="62" t="s">
        <v>1807</v>
      </c>
      <c r="N56" s="117">
        <v>3.5383702215745165E-10</v>
      </c>
      <c r="O56" s="62" t="s">
        <v>1908</v>
      </c>
      <c r="P56" s="117">
        <v>5.8613380060648312E-8</v>
      </c>
      <c r="Q56" s="62" t="s">
        <v>1908</v>
      </c>
      <c r="R56" s="117">
        <v>8.8973315867844816E-6</v>
      </c>
      <c r="S56" s="62" t="s">
        <v>1808</v>
      </c>
      <c r="T56" s="117">
        <v>1.670018769556836E-9</v>
      </c>
      <c r="U56" s="62" t="s">
        <v>1908</v>
      </c>
      <c r="V56" s="117" t="s">
        <v>1907</v>
      </c>
      <c r="W56" s="10" t="s">
        <v>1808</v>
      </c>
    </row>
    <row r="57" spans="2:23" ht="24.9" customHeight="1" x14ac:dyDescent="0.25">
      <c r="B57" s="16" t="s">
        <v>1022</v>
      </c>
      <c r="C57" s="17">
        <v>100</v>
      </c>
      <c r="D57" s="117">
        <v>4.3663136666651752E-6</v>
      </c>
      <c r="E57" s="62" t="s">
        <v>1808</v>
      </c>
      <c r="F57" s="117">
        <v>1.6293229019587875E-5</v>
      </c>
      <c r="G57" s="62" t="s">
        <v>1808</v>
      </c>
      <c r="H57" s="117">
        <v>8.3776008613325406E-7</v>
      </c>
      <c r="I57" s="62" t="s">
        <v>1908</v>
      </c>
      <c r="J57" s="117">
        <v>5.219060657800926E-6</v>
      </c>
      <c r="K57" s="62" t="s">
        <v>1807</v>
      </c>
      <c r="L57" s="117">
        <v>5.8102173402772536E-8</v>
      </c>
      <c r="M57" s="62" t="s">
        <v>1807</v>
      </c>
      <c r="N57" s="117">
        <v>3.3790783783638129E-9</v>
      </c>
      <c r="O57" s="62" t="s">
        <v>1908</v>
      </c>
      <c r="P57" s="117">
        <v>3.3718218098116493E-6</v>
      </c>
      <c r="Q57" s="62" t="s">
        <v>1807</v>
      </c>
      <c r="R57" s="117">
        <v>3.7428472154999811E-8</v>
      </c>
      <c r="S57" s="62" t="s">
        <v>1908</v>
      </c>
      <c r="T57" s="117">
        <v>4.53021114990927E-9</v>
      </c>
      <c r="U57" s="62" t="s">
        <v>1908</v>
      </c>
      <c r="V57" s="117">
        <v>2.3726823575612409E-7</v>
      </c>
      <c r="W57" s="10" t="s">
        <v>1908</v>
      </c>
    </row>
    <row r="58" spans="2:23" ht="24.9" customHeight="1" x14ac:dyDescent="0.25">
      <c r="B58" s="16" t="s">
        <v>1022</v>
      </c>
      <c r="C58" s="18">
        <v>200</v>
      </c>
      <c r="D58" s="117">
        <v>4.2259463629186825E-6</v>
      </c>
      <c r="E58" s="62" t="s">
        <v>1808</v>
      </c>
      <c r="F58" s="117">
        <v>1.9405277785375324E-5</v>
      </c>
      <c r="G58" s="62" t="s">
        <v>1808</v>
      </c>
      <c r="H58" s="117">
        <v>9.2003522073920623E-7</v>
      </c>
      <c r="I58" s="62" t="s">
        <v>1908</v>
      </c>
      <c r="J58" s="117">
        <v>7.9670097706047237E-6</v>
      </c>
      <c r="K58" s="62" t="s">
        <v>1807</v>
      </c>
      <c r="L58" s="117">
        <v>6.5972706612529345E-8</v>
      </c>
      <c r="M58" s="62" t="s">
        <v>1808</v>
      </c>
      <c r="N58" s="117" t="s">
        <v>1907</v>
      </c>
      <c r="O58" s="62" t="s">
        <v>1808</v>
      </c>
      <c r="P58" s="117">
        <v>2.5874839347666499E-7</v>
      </c>
      <c r="Q58" s="62" t="s">
        <v>1908</v>
      </c>
      <c r="R58" s="117">
        <v>3.3344612121977675E-8</v>
      </c>
      <c r="S58" s="62" t="s">
        <v>1908</v>
      </c>
      <c r="T58" s="117">
        <v>6.3465494227788186E-9</v>
      </c>
      <c r="U58" s="62" t="s">
        <v>1908</v>
      </c>
      <c r="V58" s="117">
        <v>2.3173086031529255E-7</v>
      </c>
      <c r="W58" s="10" t="s">
        <v>1908</v>
      </c>
    </row>
    <row r="59" spans="2:23" ht="24.9" customHeight="1" x14ac:dyDescent="0.25">
      <c r="B59" s="16" t="s">
        <v>1022</v>
      </c>
      <c r="C59" s="18">
        <v>300</v>
      </c>
      <c r="D59" s="117">
        <v>8.8466369305021466E-6</v>
      </c>
      <c r="E59" s="62" t="s">
        <v>1808</v>
      </c>
      <c r="F59" s="117">
        <v>4.0005259540104104E-5</v>
      </c>
      <c r="G59" s="62" t="s">
        <v>1808</v>
      </c>
      <c r="H59" s="117">
        <v>1.1347846199619208E-6</v>
      </c>
      <c r="I59" s="62" t="s">
        <v>1807</v>
      </c>
      <c r="J59" s="117">
        <v>3.6608201541618877E-6</v>
      </c>
      <c r="K59" s="62" t="s">
        <v>1908</v>
      </c>
      <c r="L59" s="117">
        <v>6.9433483467042058E-8</v>
      </c>
      <c r="M59" s="62" t="s">
        <v>1808</v>
      </c>
      <c r="N59" s="117">
        <v>4.5884162946631647E-10</v>
      </c>
      <c r="O59" s="62" t="s">
        <v>1908</v>
      </c>
      <c r="P59" s="117">
        <v>3.4291415783891094E-7</v>
      </c>
      <c r="Q59" s="62" t="s">
        <v>1908</v>
      </c>
      <c r="R59" s="117">
        <v>4.9336879523250975E-8</v>
      </c>
      <c r="S59" s="62" t="s">
        <v>1908</v>
      </c>
      <c r="T59" s="117">
        <v>3.9484048215669205E-9</v>
      </c>
      <c r="U59" s="62" t="s">
        <v>1908</v>
      </c>
      <c r="V59" s="117">
        <v>3.1116972157032745E-7</v>
      </c>
      <c r="W59" s="10" t="s">
        <v>1908</v>
      </c>
    </row>
    <row r="60" spans="2:23" ht="24.9" customHeight="1" x14ac:dyDescent="0.25">
      <c r="B60" s="16" t="s">
        <v>1022</v>
      </c>
      <c r="C60" s="17">
        <v>400</v>
      </c>
      <c r="D60" s="117">
        <v>7.3607563239804296E-6</v>
      </c>
      <c r="E60" s="62" t="s">
        <v>1808</v>
      </c>
      <c r="F60" s="117">
        <v>3.5018093179108102E-5</v>
      </c>
      <c r="G60" s="62" t="s">
        <v>1808</v>
      </c>
      <c r="H60" s="117">
        <v>1.5273818953666497E-6</v>
      </c>
      <c r="I60" s="62" t="s">
        <v>1807</v>
      </c>
      <c r="J60" s="117">
        <v>5.328740749849601E-6</v>
      </c>
      <c r="K60" s="62" t="s">
        <v>1807</v>
      </c>
      <c r="L60" s="117">
        <v>7.4983426598938493E-8</v>
      </c>
      <c r="M60" s="62" t="s">
        <v>1808</v>
      </c>
      <c r="N60" s="117">
        <v>1.5167438516297179E-9</v>
      </c>
      <c r="O60" s="62" t="s">
        <v>1908</v>
      </c>
      <c r="P60" s="117">
        <v>7.8963518089914883E-7</v>
      </c>
      <c r="Q60" s="62" t="s">
        <v>1908</v>
      </c>
      <c r="R60" s="117">
        <v>5.3530730341156944E-8</v>
      </c>
      <c r="S60" s="62" t="s">
        <v>1908</v>
      </c>
      <c r="T60" s="117">
        <v>3.5420601700958961E-9</v>
      </c>
      <c r="U60" s="62" t="s">
        <v>1908</v>
      </c>
      <c r="V60" s="117">
        <v>6.834419346814944E-7</v>
      </c>
      <c r="W60" s="10" t="s">
        <v>1908</v>
      </c>
    </row>
    <row r="61" spans="2:23" ht="24.9" customHeight="1" x14ac:dyDescent="0.25">
      <c r="B61" s="16" t="s">
        <v>1022</v>
      </c>
      <c r="C61" s="18">
        <v>500</v>
      </c>
      <c r="D61" s="117">
        <v>6.8701286330118641E-6</v>
      </c>
      <c r="E61" s="62" t="s">
        <v>1808</v>
      </c>
      <c r="F61" s="117">
        <v>3.4404812493600514E-5</v>
      </c>
      <c r="G61" s="62" t="s">
        <v>1808</v>
      </c>
      <c r="H61" s="117">
        <v>4.2148394590742763E-6</v>
      </c>
      <c r="I61" s="62" t="s">
        <v>1808</v>
      </c>
      <c r="J61" s="117">
        <v>1.2458048662683971E-5</v>
      </c>
      <c r="K61" s="62" t="s">
        <v>1807</v>
      </c>
      <c r="L61" s="117">
        <v>6.5665855274720251E-8</v>
      </c>
      <c r="M61" s="62" t="s">
        <v>1808</v>
      </c>
      <c r="N61" s="117">
        <v>7.4137807325409334E-10</v>
      </c>
      <c r="O61" s="62" t="s">
        <v>1908</v>
      </c>
      <c r="P61" s="117">
        <v>4.0462136808800526E-7</v>
      </c>
      <c r="Q61" s="62" t="s">
        <v>1908</v>
      </c>
      <c r="R61" s="117">
        <v>5.4276711873392726E-8</v>
      </c>
      <c r="S61" s="62" t="s">
        <v>1908</v>
      </c>
      <c r="T61" s="117">
        <v>8.5373723291600127E-9</v>
      </c>
      <c r="U61" s="62" t="s">
        <v>1908</v>
      </c>
      <c r="V61" s="117">
        <v>1.8308336604982737E-6</v>
      </c>
      <c r="W61" s="10" t="s">
        <v>1807</v>
      </c>
    </row>
    <row r="62" spans="2:23" ht="24.9" customHeight="1" x14ac:dyDescent="0.25">
      <c r="B62" s="16" t="s">
        <v>1023</v>
      </c>
      <c r="C62" s="17">
        <v>100</v>
      </c>
      <c r="D62" s="117">
        <v>2.886339248078106E-6</v>
      </c>
      <c r="E62" s="62" t="s">
        <v>1807</v>
      </c>
      <c r="F62" s="117">
        <v>1.3477057133563258E-5</v>
      </c>
      <c r="G62" s="62" t="s">
        <v>1808</v>
      </c>
      <c r="H62" s="117">
        <v>2.4041964470696242E-5</v>
      </c>
      <c r="I62" s="62" t="s">
        <v>1808</v>
      </c>
      <c r="J62" s="117">
        <v>2.4330952550913498E-5</v>
      </c>
      <c r="K62" s="62" t="s">
        <v>1808</v>
      </c>
      <c r="L62" s="117">
        <v>5.3808160194674362E-8</v>
      </c>
      <c r="M62" s="62" t="s">
        <v>1807</v>
      </c>
      <c r="N62" s="117">
        <v>1.2772155235734105E-8</v>
      </c>
      <c r="O62" s="62" t="s">
        <v>1807</v>
      </c>
      <c r="P62" s="117">
        <v>2.5971766086903977E-6</v>
      </c>
      <c r="Q62" s="62" t="s">
        <v>1807</v>
      </c>
      <c r="R62" s="117">
        <v>1.1620178453182191E-7</v>
      </c>
      <c r="S62" s="62" t="s">
        <v>1807</v>
      </c>
      <c r="T62" s="117">
        <v>1.2801449628275612E-8</v>
      </c>
      <c r="U62" s="62" t="s">
        <v>1908</v>
      </c>
      <c r="V62" s="117">
        <v>9.4825796486800696E-6</v>
      </c>
      <c r="W62" s="10" t="s">
        <v>1808</v>
      </c>
    </row>
    <row r="63" spans="2:23" ht="24.9" customHeight="1" x14ac:dyDescent="0.25">
      <c r="B63" s="16" t="s">
        <v>1023</v>
      </c>
      <c r="C63" s="18">
        <v>200</v>
      </c>
      <c r="D63" s="117">
        <v>6.4826675002288184E-6</v>
      </c>
      <c r="E63" s="62" t="s">
        <v>1808</v>
      </c>
      <c r="F63" s="117">
        <v>3.2674253960472388E-5</v>
      </c>
      <c r="G63" s="62" t="s">
        <v>1808</v>
      </c>
      <c r="H63" s="117">
        <v>4.8531482959308764E-7</v>
      </c>
      <c r="I63" s="62" t="s">
        <v>1908</v>
      </c>
      <c r="J63" s="117">
        <v>4.2051490975294247E-6</v>
      </c>
      <c r="K63" s="62" t="s">
        <v>1807</v>
      </c>
      <c r="L63" s="117">
        <v>5.6089964909576335E-8</v>
      </c>
      <c r="M63" s="62" t="s">
        <v>1807</v>
      </c>
      <c r="N63" s="117">
        <v>4.2469126431168425E-10</v>
      </c>
      <c r="O63" s="62" t="s">
        <v>1908</v>
      </c>
      <c r="P63" s="117">
        <v>7.1246415019480702E-7</v>
      </c>
      <c r="Q63" s="62" t="s">
        <v>1908</v>
      </c>
      <c r="R63" s="117">
        <v>1.6954714263767863E-7</v>
      </c>
      <c r="S63" s="62" t="s">
        <v>1807</v>
      </c>
      <c r="T63" s="117">
        <v>4.2783732261298052E-9</v>
      </c>
      <c r="U63" s="62" t="s">
        <v>1908</v>
      </c>
      <c r="V63" s="117">
        <v>1.038585517759231E-7</v>
      </c>
      <c r="W63" s="10" t="s">
        <v>1908</v>
      </c>
    </row>
    <row r="64" spans="2:23" ht="24.9" customHeight="1" x14ac:dyDescent="0.25">
      <c r="B64" s="16" t="s">
        <v>1023</v>
      </c>
      <c r="C64" s="18">
        <v>300</v>
      </c>
      <c r="D64" s="117">
        <v>1.0420333272633671E-5</v>
      </c>
      <c r="E64" s="62" t="s">
        <v>1808</v>
      </c>
      <c r="F64" s="117">
        <v>5.1333229166641052E-5</v>
      </c>
      <c r="G64" s="62" t="s">
        <v>1808</v>
      </c>
      <c r="H64" s="117">
        <v>1.2957734141186469E-6</v>
      </c>
      <c r="I64" s="62" t="s">
        <v>1807</v>
      </c>
      <c r="J64" s="117">
        <v>6.7569699958432733E-6</v>
      </c>
      <c r="K64" s="62" t="s">
        <v>1807</v>
      </c>
      <c r="L64" s="117">
        <v>7.5389643205622453E-8</v>
      </c>
      <c r="M64" s="62" t="s">
        <v>1808</v>
      </c>
      <c r="N64" s="117">
        <v>4.2051363438850945E-9</v>
      </c>
      <c r="O64" s="62" t="s">
        <v>1908</v>
      </c>
      <c r="P64" s="117">
        <v>6.7785840190738646E-7</v>
      </c>
      <c r="Q64" s="62" t="s">
        <v>1908</v>
      </c>
      <c r="R64" s="117">
        <v>2.5918735705721689E-7</v>
      </c>
      <c r="S64" s="62" t="s">
        <v>1808</v>
      </c>
      <c r="T64" s="117">
        <v>6.304138806480392E-9</v>
      </c>
      <c r="U64" s="62" t="s">
        <v>1908</v>
      </c>
      <c r="V64" s="117">
        <v>4.3117748831761382E-7</v>
      </c>
      <c r="W64" s="10" t="s">
        <v>1908</v>
      </c>
    </row>
    <row r="65" spans="2:23" ht="24.9" customHeight="1" x14ac:dyDescent="0.25">
      <c r="B65" s="16" t="s">
        <v>1023</v>
      </c>
      <c r="C65" s="17">
        <v>400</v>
      </c>
      <c r="D65" s="117">
        <v>1.0231992108386705E-5</v>
      </c>
      <c r="E65" s="62" t="s">
        <v>1808</v>
      </c>
      <c r="F65" s="117">
        <v>5.7360849768241918E-5</v>
      </c>
      <c r="G65" s="62" t="s">
        <v>1808</v>
      </c>
      <c r="H65" s="117">
        <v>1.5888141605034633E-6</v>
      </c>
      <c r="I65" s="62" t="s">
        <v>1807</v>
      </c>
      <c r="J65" s="117">
        <v>7.5024340355586092E-6</v>
      </c>
      <c r="K65" s="62" t="s">
        <v>1807</v>
      </c>
      <c r="L65" s="117">
        <v>7.700283995345278E-8</v>
      </c>
      <c r="M65" s="62" t="s">
        <v>1808</v>
      </c>
      <c r="N65" s="117">
        <v>1.3983874991188878E-9</v>
      </c>
      <c r="O65" s="62" t="s">
        <v>1908</v>
      </c>
      <c r="P65" s="117">
        <v>4.2167835164848377E-7</v>
      </c>
      <c r="Q65" s="62" t="s">
        <v>1908</v>
      </c>
      <c r="R65" s="117">
        <v>2.96284120662127E-7</v>
      </c>
      <c r="S65" s="62" t="s">
        <v>1808</v>
      </c>
      <c r="T65" s="117">
        <v>1.5365382655390302E-8</v>
      </c>
      <c r="U65" s="62" t="s">
        <v>1908</v>
      </c>
      <c r="V65" s="117">
        <v>4.9707544184758938E-7</v>
      </c>
      <c r="W65" s="10" t="s">
        <v>1908</v>
      </c>
    </row>
    <row r="66" spans="2:23" ht="24.9" customHeight="1" x14ac:dyDescent="0.25">
      <c r="B66" s="16" t="s">
        <v>1023</v>
      </c>
      <c r="C66" s="18">
        <v>500</v>
      </c>
      <c r="D66" s="117">
        <v>8.1582757726262522E-6</v>
      </c>
      <c r="E66" s="62" t="s">
        <v>1808</v>
      </c>
      <c r="F66" s="117">
        <v>4.7947993142098129E-5</v>
      </c>
      <c r="G66" s="62" t="s">
        <v>1808</v>
      </c>
      <c r="H66" s="117">
        <v>4.3573971444369511E-7</v>
      </c>
      <c r="I66" s="62" t="s">
        <v>1908</v>
      </c>
      <c r="J66" s="117">
        <v>7.0451712846021883E-6</v>
      </c>
      <c r="K66" s="62" t="s">
        <v>1807</v>
      </c>
      <c r="L66" s="117">
        <v>8.3149663186702018E-8</v>
      </c>
      <c r="M66" s="62" t="s">
        <v>1808</v>
      </c>
      <c r="N66" s="117">
        <v>1.1813978015180814E-9</v>
      </c>
      <c r="O66" s="62" t="s">
        <v>1908</v>
      </c>
      <c r="P66" s="117">
        <v>4.1655510515488844E-7</v>
      </c>
      <c r="Q66" s="62" t="s">
        <v>1908</v>
      </c>
      <c r="R66" s="117">
        <v>3.0914576865366622E-7</v>
      </c>
      <c r="S66" s="62" t="s">
        <v>1808</v>
      </c>
      <c r="T66" s="117">
        <v>1.787287082026523E-9</v>
      </c>
      <c r="U66" s="62" t="s">
        <v>1908</v>
      </c>
      <c r="V66" s="117">
        <v>2.6628803331349022E-7</v>
      </c>
      <c r="W66" s="10" t="s">
        <v>1908</v>
      </c>
    </row>
    <row r="67" spans="2:23" ht="24.9" customHeight="1" x14ac:dyDescent="0.25">
      <c r="B67" s="16" t="s">
        <v>1025</v>
      </c>
      <c r="C67" s="17">
        <v>100</v>
      </c>
      <c r="D67" s="117">
        <v>7.5117621339749425E-7</v>
      </c>
      <c r="E67" s="62" t="s">
        <v>1908</v>
      </c>
      <c r="F67" s="117">
        <v>1.7986488567634475E-6</v>
      </c>
      <c r="G67" s="62" t="s">
        <v>1808</v>
      </c>
      <c r="H67" s="117">
        <v>2.725639713153464E-7</v>
      </c>
      <c r="I67" s="62" t="s">
        <v>1908</v>
      </c>
      <c r="J67" s="117">
        <v>1.079822919593682E-6</v>
      </c>
      <c r="K67" s="62" t="s">
        <v>1908</v>
      </c>
      <c r="L67" s="117">
        <v>3.5490098512277367E-8</v>
      </c>
      <c r="M67" s="62" t="s">
        <v>1807</v>
      </c>
      <c r="N67" s="117">
        <v>8.4587045814365521E-10</v>
      </c>
      <c r="O67" s="62" t="s">
        <v>1908</v>
      </c>
      <c r="P67" s="117">
        <v>3.7786969868489506E-7</v>
      </c>
      <c r="Q67" s="62" t="s">
        <v>1908</v>
      </c>
      <c r="R67" s="117">
        <v>1.5192018393490903E-5</v>
      </c>
      <c r="S67" s="62" t="s">
        <v>1808</v>
      </c>
      <c r="T67" s="117" t="s">
        <v>1907</v>
      </c>
      <c r="U67" s="62" t="s">
        <v>1808</v>
      </c>
      <c r="V67" s="117">
        <v>7.4331724312849156E-8</v>
      </c>
      <c r="W67" s="10" t="s">
        <v>1908</v>
      </c>
    </row>
    <row r="68" spans="2:23" ht="24.9" customHeight="1" x14ac:dyDescent="0.25">
      <c r="B68" s="16" t="s">
        <v>1025</v>
      </c>
      <c r="C68" s="18">
        <v>200</v>
      </c>
      <c r="D68" s="117">
        <v>3.1014314434034158E-6</v>
      </c>
      <c r="E68" s="62" t="s">
        <v>1807</v>
      </c>
      <c r="F68" s="117">
        <v>5.0168178916853595E-6</v>
      </c>
      <c r="G68" s="62" t="s">
        <v>1808</v>
      </c>
      <c r="H68" s="117">
        <v>5.6763460087120983E-7</v>
      </c>
      <c r="I68" s="62" t="s">
        <v>1908</v>
      </c>
      <c r="J68" s="117">
        <v>6.4467658458068738E-7</v>
      </c>
      <c r="K68" s="62" t="s">
        <v>1908</v>
      </c>
      <c r="L68" s="117">
        <v>3.8237927688331572E-8</v>
      </c>
      <c r="M68" s="62" t="s">
        <v>1807</v>
      </c>
      <c r="N68" s="117">
        <v>6.0789513764454386E-10</v>
      </c>
      <c r="O68" s="62" t="s">
        <v>1908</v>
      </c>
      <c r="P68" s="117">
        <v>1.7329274571865332E-7</v>
      </c>
      <c r="Q68" s="62" t="s">
        <v>1908</v>
      </c>
      <c r="R68" s="117">
        <v>2.5099621180005103E-5</v>
      </c>
      <c r="S68" s="62" t="s">
        <v>1808</v>
      </c>
      <c r="T68" s="117">
        <v>2.2893832956918246E-10</v>
      </c>
      <c r="U68" s="62" t="s">
        <v>1908</v>
      </c>
      <c r="V68" s="117">
        <v>9.9626539311519042E-8</v>
      </c>
      <c r="W68" s="10" t="s">
        <v>1908</v>
      </c>
    </row>
    <row r="69" spans="2:23" ht="24.9" customHeight="1" x14ac:dyDescent="0.25">
      <c r="B69" s="16" t="s">
        <v>1025</v>
      </c>
      <c r="C69" s="18">
        <v>300</v>
      </c>
      <c r="D69" s="117">
        <v>7.2832475833619485E-6</v>
      </c>
      <c r="E69" s="62" t="s">
        <v>1808</v>
      </c>
      <c r="F69" s="117">
        <v>1.0774988323213553E-5</v>
      </c>
      <c r="G69" s="62" t="s">
        <v>1808</v>
      </c>
      <c r="H69" s="117">
        <v>1.269983018043833E-6</v>
      </c>
      <c r="I69" s="62" t="s">
        <v>1807</v>
      </c>
      <c r="J69" s="117">
        <v>1.188201903919368E-6</v>
      </c>
      <c r="K69" s="62" t="s">
        <v>1908</v>
      </c>
      <c r="L69" s="117">
        <v>5.3164976967543176E-8</v>
      </c>
      <c r="M69" s="62" t="s">
        <v>1807</v>
      </c>
      <c r="N69" s="117">
        <v>2.9972348788173425E-9</v>
      </c>
      <c r="O69" s="62" t="s">
        <v>1908</v>
      </c>
      <c r="P69" s="117">
        <v>2.2708126166137912E-7</v>
      </c>
      <c r="Q69" s="62" t="s">
        <v>1908</v>
      </c>
      <c r="R69" s="117">
        <v>2.8042915211841534E-5</v>
      </c>
      <c r="S69" s="62" t="s">
        <v>1808</v>
      </c>
      <c r="T69" s="117">
        <v>1.8901148467877186E-9</v>
      </c>
      <c r="U69" s="62" t="s">
        <v>1908</v>
      </c>
      <c r="V69" s="117">
        <v>3.1012434790734992E-7</v>
      </c>
      <c r="W69" s="10" t="s">
        <v>1908</v>
      </c>
    </row>
    <row r="70" spans="2:23" ht="24.9" customHeight="1" x14ac:dyDescent="0.25">
      <c r="B70" s="16" t="s">
        <v>1025</v>
      </c>
      <c r="C70" s="17">
        <v>400</v>
      </c>
      <c r="D70" s="117">
        <v>7.4648884556779174E-6</v>
      </c>
      <c r="E70" s="62" t="s">
        <v>1808</v>
      </c>
      <c r="F70" s="117">
        <v>1.0382887891237975E-5</v>
      </c>
      <c r="G70" s="62" t="s">
        <v>1808</v>
      </c>
      <c r="H70" s="117">
        <v>8.7786848422799778E-7</v>
      </c>
      <c r="I70" s="62" t="s">
        <v>1908</v>
      </c>
      <c r="J70" s="117">
        <v>7.5354939565194315E-7</v>
      </c>
      <c r="K70" s="62" t="s">
        <v>1908</v>
      </c>
      <c r="L70" s="117">
        <v>4.2627198857379811E-8</v>
      </c>
      <c r="M70" s="62" t="s">
        <v>1807</v>
      </c>
      <c r="N70" s="117">
        <v>6.8331485926959552E-10</v>
      </c>
      <c r="O70" s="62" t="s">
        <v>1908</v>
      </c>
      <c r="P70" s="117">
        <v>1.7812874511992742E-7</v>
      </c>
      <c r="Q70" s="62" t="s">
        <v>1908</v>
      </c>
      <c r="R70" s="117">
        <v>2.5035236878938817E-5</v>
      </c>
      <c r="S70" s="62" t="s">
        <v>1808</v>
      </c>
      <c r="T70" s="117" t="s">
        <v>1907</v>
      </c>
      <c r="U70" s="62" t="s">
        <v>1808</v>
      </c>
      <c r="V70" s="117">
        <v>2.6757008908933626E-7</v>
      </c>
      <c r="W70" s="10" t="s">
        <v>1908</v>
      </c>
    </row>
    <row r="71" spans="2:23" ht="24.9" customHeight="1" x14ac:dyDescent="0.25">
      <c r="B71" s="16" t="s">
        <v>1025</v>
      </c>
      <c r="C71" s="18">
        <v>500</v>
      </c>
      <c r="D71" s="117">
        <v>8.228385368937121E-6</v>
      </c>
      <c r="E71" s="62" t="s">
        <v>1808</v>
      </c>
      <c r="F71" s="117">
        <v>1.2163326161439542E-5</v>
      </c>
      <c r="G71" s="62" t="s">
        <v>1808</v>
      </c>
      <c r="H71" s="117">
        <v>9.2036141650897142E-7</v>
      </c>
      <c r="I71" s="62" t="s">
        <v>1908</v>
      </c>
      <c r="J71" s="117">
        <v>6.3491193928191327E-7</v>
      </c>
      <c r="K71" s="62" t="s">
        <v>1908</v>
      </c>
      <c r="L71" s="117">
        <v>4.7086926221438936E-8</v>
      </c>
      <c r="M71" s="62" t="s">
        <v>1807</v>
      </c>
      <c r="N71" s="117">
        <v>3.2879454855997379E-10</v>
      </c>
      <c r="O71" s="62" t="s">
        <v>1908</v>
      </c>
      <c r="P71" s="117">
        <v>9.7789959643838635E-7</v>
      </c>
      <c r="Q71" s="62" t="s">
        <v>1908</v>
      </c>
      <c r="R71" s="117">
        <v>2.7694237704751224E-5</v>
      </c>
      <c r="S71" s="62" t="s">
        <v>1808</v>
      </c>
      <c r="T71" s="117">
        <v>5.0656790165264688E-10</v>
      </c>
      <c r="U71" s="62" t="s">
        <v>1908</v>
      </c>
      <c r="V71" s="117">
        <v>2.6913137744983251E-7</v>
      </c>
      <c r="W71" s="10" t="s">
        <v>1908</v>
      </c>
    </row>
    <row r="72" spans="2:23" ht="24.9" customHeight="1" x14ac:dyDescent="0.25">
      <c r="B72" s="16" t="s">
        <v>1025</v>
      </c>
      <c r="C72" s="17">
        <v>600</v>
      </c>
      <c r="D72" s="117">
        <v>3.6342738329585427E-6</v>
      </c>
      <c r="E72" s="62" t="s">
        <v>1808</v>
      </c>
      <c r="F72" s="117">
        <v>6.0936417054149296E-6</v>
      </c>
      <c r="G72" s="62" t="s">
        <v>1808</v>
      </c>
      <c r="H72" s="117">
        <v>3.1375294797469301E-6</v>
      </c>
      <c r="I72" s="62" t="s">
        <v>1807</v>
      </c>
      <c r="J72" s="117">
        <v>4.2169633790632597E-6</v>
      </c>
      <c r="K72" s="62" t="s">
        <v>1807</v>
      </c>
      <c r="L72" s="117">
        <v>4.6806500717206344E-8</v>
      </c>
      <c r="M72" s="62" t="s">
        <v>1807</v>
      </c>
      <c r="N72" s="117">
        <v>6.7371323448734632E-9</v>
      </c>
      <c r="O72" s="62" t="s">
        <v>1807</v>
      </c>
      <c r="P72" s="117">
        <v>3.5082072555016817E-7</v>
      </c>
      <c r="Q72" s="62" t="s">
        <v>1908</v>
      </c>
      <c r="R72" s="117">
        <v>2.9995906916314928E-5</v>
      </c>
      <c r="S72" s="62" t="s">
        <v>1808</v>
      </c>
      <c r="T72" s="117">
        <v>3.6905893400754799E-9</v>
      </c>
      <c r="U72" s="62" t="s">
        <v>1908</v>
      </c>
      <c r="V72" s="117">
        <v>8.5973276041504449E-7</v>
      </c>
      <c r="W72" s="10" t="s">
        <v>1807</v>
      </c>
    </row>
    <row r="73" spans="2:23" ht="24.9" customHeight="1" x14ac:dyDescent="0.25">
      <c r="B73" s="16" t="s">
        <v>1025</v>
      </c>
      <c r="C73" s="18">
        <v>700</v>
      </c>
      <c r="D73" s="117">
        <v>4.0023850524046823E-6</v>
      </c>
      <c r="E73" s="62" t="s">
        <v>1808</v>
      </c>
      <c r="F73" s="117">
        <v>6.1923886405885105E-6</v>
      </c>
      <c r="G73" s="62" t="s">
        <v>1808</v>
      </c>
      <c r="H73" s="117">
        <v>6.6191222281322388E-7</v>
      </c>
      <c r="I73" s="62" t="s">
        <v>1908</v>
      </c>
      <c r="J73" s="117">
        <v>2.8812029285309064E-6</v>
      </c>
      <c r="K73" s="62" t="s">
        <v>1908</v>
      </c>
      <c r="L73" s="117">
        <v>4.7560806099375867E-8</v>
      </c>
      <c r="M73" s="62" t="s">
        <v>1807</v>
      </c>
      <c r="N73" s="117">
        <v>6.0659653981920223E-9</v>
      </c>
      <c r="O73" s="62" t="s">
        <v>1908</v>
      </c>
      <c r="P73" s="117">
        <v>1.6899591135955133E-7</v>
      </c>
      <c r="Q73" s="62" t="s">
        <v>1908</v>
      </c>
      <c r="R73" s="117">
        <v>2.6745676743038733E-5</v>
      </c>
      <c r="S73" s="62" t="s">
        <v>1808</v>
      </c>
      <c r="T73" s="117">
        <v>2.5407842177153687E-9</v>
      </c>
      <c r="U73" s="62" t="s">
        <v>1908</v>
      </c>
      <c r="V73" s="117">
        <v>1.7809410000790567E-7</v>
      </c>
      <c r="W73" s="10" t="s">
        <v>1908</v>
      </c>
    </row>
    <row r="74" spans="2:23" ht="24.9" customHeight="1" x14ac:dyDescent="0.25">
      <c r="B74" s="16" t="s">
        <v>1025</v>
      </c>
      <c r="C74" s="17">
        <v>800</v>
      </c>
      <c r="D74" s="117">
        <v>7.724483302120632E-6</v>
      </c>
      <c r="E74" s="62" t="s">
        <v>1808</v>
      </c>
      <c r="F74" s="117">
        <v>1.1312288092533442E-5</v>
      </c>
      <c r="G74" s="62" t="s">
        <v>1808</v>
      </c>
      <c r="H74" s="117">
        <v>5.4795236122935775E-7</v>
      </c>
      <c r="I74" s="62" t="s">
        <v>1908</v>
      </c>
      <c r="J74" s="117">
        <v>2.707110609686254E-6</v>
      </c>
      <c r="K74" s="62" t="s">
        <v>1908</v>
      </c>
      <c r="L74" s="117">
        <v>4.8661869466674765E-8</v>
      </c>
      <c r="M74" s="62" t="s">
        <v>1807</v>
      </c>
      <c r="N74" s="117">
        <v>3.6622230096869586E-9</v>
      </c>
      <c r="O74" s="62" t="s">
        <v>1908</v>
      </c>
      <c r="P74" s="117">
        <v>2.0108296287652983E-6</v>
      </c>
      <c r="Q74" s="62" t="s">
        <v>1908</v>
      </c>
      <c r="R74" s="117">
        <v>3.7950151635898053E-5</v>
      </c>
      <c r="S74" s="62" t="s">
        <v>1808</v>
      </c>
      <c r="T74" s="117">
        <v>3.5524262262577934E-9</v>
      </c>
      <c r="U74" s="62" t="s">
        <v>1908</v>
      </c>
      <c r="V74" s="117">
        <v>7.3984016674139283E-8</v>
      </c>
      <c r="W74" s="10" t="s">
        <v>1908</v>
      </c>
    </row>
    <row r="75" spans="2:23" ht="24.9" customHeight="1" x14ac:dyDescent="0.25">
      <c r="B75" s="16" t="s">
        <v>1025</v>
      </c>
      <c r="C75" s="18">
        <v>900</v>
      </c>
      <c r="D75" s="117">
        <v>1.3228303823652414E-5</v>
      </c>
      <c r="E75" s="62" t="s">
        <v>1808</v>
      </c>
      <c r="F75" s="117">
        <v>1.8579258713498042E-5</v>
      </c>
      <c r="G75" s="62" t="s">
        <v>1808</v>
      </c>
      <c r="H75" s="117">
        <v>2.2031438428343272E-6</v>
      </c>
      <c r="I75" s="62" t="s">
        <v>1807</v>
      </c>
      <c r="J75" s="117">
        <v>2.9605796438336876E-6</v>
      </c>
      <c r="K75" s="62" t="s">
        <v>1908</v>
      </c>
      <c r="L75" s="117">
        <v>5.1308566152970008E-8</v>
      </c>
      <c r="M75" s="62" t="s">
        <v>1807</v>
      </c>
      <c r="N75" s="117">
        <v>3.6720536662694745E-9</v>
      </c>
      <c r="O75" s="62" t="s">
        <v>1908</v>
      </c>
      <c r="P75" s="117">
        <v>1.3123945614993153E-6</v>
      </c>
      <c r="Q75" s="62" t="s">
        <v>1908</v>
      </c>
      <c r="R75" s="117">
        <v>4.5648564510813854E-5</v>
      </c>
      <c r="S75" s="62" t="s">
        <v>1808</v>
      </c>
      <c r="T75" s="117">
        <v>3.538873766841615E-9</v>
      </c>
      <c r="U75" s="62" t="s">
        <v>1908</v>
      </c>
      <c r="V75" s="117">
        <v>5.6424553899822065E-7</v>
      </c>
      <c r="W75" s="10" t="s">
        <v>1908</v>
      </c>
    </row>
    <row r="76" spans="2:23" ht="24.9" customHeight="1" x14ac:dyDescent="0.25">
      <c r="B76" s="16" t="s">
        <v>1025</v>
      </c>
      <c r="C76" s="17">
        <v>1000</v>
      </c>
      <c r="D76" s="117">
        <v>4.4629989713749373E-5</v>
      </c>
      <c r="E76" s="62" t="s">
        <v>1808</v>
      </c>
      <c r="F76" s="117">
        <v>6.1777566196903125E-5</v>
      </c>
      <c r="G76" s="62" t="s">
        <v>1808</v>
      </c>
      <c r="H76" s="117">
        <v>6.1443796762174549E-6</v>
      </c>
      <c r="I76" s="62" t="s">
        <v>1808</v>
      </c>
      <c r="J76" s="117">
        <v>4.2456109645138475E-6</v>
      </c>
      <c r="K76" s="62" t="s">
        <v>1807</v>
      </c>
      <c r="L76" s="117">
        <v>6.7080475196883152E-8</v>
      </c>
      <c r="M76" s="62" t="s">
        <v>1808</v>
      </c>
      <c r="N76" s="117">
        <v>1.097385232658221E-8</v>
      </c>
      <c r="O76" s="62" t="s">
        <v>1807</v>
      </c>
      <c r="P76" s="117">
        <v>1.0923657818921311E-6</v>
      </c>
      <c r="Q76" s="62" t="s">
        <v>1908</v>
      </c>
      <c r="R76" s="117">
        <v>8.2951816894685535E-5</v>
      </c>
      <c r="S76" s="62" t="s">
        <v>1808</v>
      </c>
      <c r="T76" s="117">
        <v>4.39097978133622E-9</v>
      </c>
      <c r="U76" s="62" t="s">
        <v>1908</v>
      </c>
      <c r="V76" s="117">
        <v>1.156468718497968E-6</v>
      </c>
      <c r="W76" s="10" t="s">
        <v>1807</v>
      </c>
    </row>
    <row r="77" spans="2:23" ht="24.9" customHeight="1" x14ac:dyDescent="0.25">
      <c r="B77" s="16" t="s">
        <v>1025</v>
      </c>
      <c r="C77" s="18">
        <v>1100</v>
      </c>
      <c r="D77" s="117">
        <v>2.1703787811054547E-5</v>
      </c>
      <c r="E77" s="62" t="s">
        <v>1808</v>
      </c>
      <c r="F77" s="117">
        <v>3.6250100734764036E-5</v>
      </c>
      <c r="G77" s="62" t="s">
        <v>1808</v>
      </c>
      <c r="H77" s="117">
        <v>1.7109388918770342E-6</v>
      </c>
      <c r="I77" s="62" t="s">
        <v>1807</v>
      </c>
      <c r="J77" s="117">
        <v>2.5753822687536514E-6</v>
      </c>
      <c r="K77" s="62" t="s">
        <v>1908</v>
      </c>
      <c r="L77" s="117">
        <v>4.7671606600554041E-8</v>
      </c>
      <c r="M77" s="62" t="s">
        <v>1807</v>
      </c>
      <c r="N77" s="117">
        <v>7.2327580885642842E-9</v>
      </c>
      <c r="O77" s="62" t="s">
        <v>1807</v>
      </c>
      <c r="P77" s="117">
        <v>3.7151824730727325E-7</v>
      </c>
      <c r="Q77" s="62" t="s">
        <v>1908</v>
      </c>
      <c r="R77" s="117">
        <v>6.8869312037691917E-5</v>
      </c>
      <c r="S77" s="62" t="s">
        <v>1808</v>
      </c>
      <c r="T77" s="117">
        <v>5.3619411062374982E-9</v>
      </c>
      <c r="U77" s="62" t="s">
        <v>1908</v>
      </c>
      <c r="V77" s="117" t="s">
        <v>1907</v>
      </c>
      <c r="W77" s="10" t="s">
        <v>1808</v>
      </c>
    </row>
    <row r="78" spans="2:23" ht="24.9" customHeight="1" x14ac:dyDescent="0.25">
      <c r="B78" s="16" t="s">
        <v>1025</v>
      </c>
      <c r="C78" s="17">
        <v>1200</v>
      </c>
      <c r="D78" s="117">
        <v>6.8085786829804905E-6</v>
      </c>
      <c r="E78" s="62" t="s">
        <v>1808</v>
      </c>
      <c r="F78" s="117">
        <v>1.3322378515014197E-5</v>
      </c>
      <c r="G78" s="62" t="s">
        <v>1808</v>
      </c>
      <c r="H78" s="117">
        <v>1.2145003949360925E-6</v>
      </c>
      <c r="I78" s="62" t="s">
        <v>1807</v>
      </c>
      <c r="J78" s="117">
        <v>2.0824865253372069E-6</v>
      </c>
      <c r="K78" s="62" t="s">
        <v>1908</v>
      </c>
      <c r="L78" s="117">
        <v>3.5216908956507073E-8</v>
      </c>
      <c r="M78" s="62" t="s">
        <v>1807</v>
      </c>
      <c r="N78" s="117">
        <v>3.7235628322319727E-9</v>
      </c>
      <c r="O78" s="62" t="s">
        <v>1908</v>
      </c>
      <c r="P78" s="117">
        <v>5.7742381944215213E-7</v>
      </c>
      <c r="Q78" s="62" t="s">
        <v>1908</v>
      </c>
      <c r="R78" s="117">
        <v>4.2573057471617818E-5</v>
      </c>
      <c r="S78" s="62" t="s">
        <v>1808</v>
      </c>
      <c r="T78" s="117">
        <v>4.3312750116588949E-9</v>
      </c>
      <c r="U78" s="62" t="s">
        <v>1908</v>
      </c>
      <c r="V78" s="117">
        <v>4.0842702853643326E-8</v>
      </c>
      <c r="W78" s="10" t="s">
        <v>1908</v>
      </c>
    </row>
    <row r="79" spans="2:23" ht="24.9" customHeight="1" x14ac:dyDescent="0.25">
      <c r="B79" s="16" t="s">
        <v>1025</v>
      </c>
      <c r="C79" s="18">
        <v>1300</v>
      </c>
      <c r="D79" s="117">
        <v>1.1746998801593313E-6</v>
      </c>
      <c r="E79" s="62" t="s">
        <v>1808</v>
      </c>
      <c r="F79" s="117">
        <v>1.2081118280465571E-5</v>
      </c>
      <c r="G79" s="62" t="s">
        <v>1808</v>
      </c>
      <c r="H79" s="117">
        <v>1.2941180045254475E-6</v>
      </c>
      <c r="I79" s="62" t="s">
        <v>1808</v>
      </c>
      <c r="J79" s="117">
        <v>1.1384313400566311E-6</v>
      </c>
      <c r="K79" s="62" t="s">
        <v>1908</v>
      </c>
      <c r="L79" s="117">
        <v>1.4588025504882284E-8</v>
      </c>
      <c r="M79" s="62" t="s">
        <v>1807</v>
      </c>
      <c r="N79" s="117">
        <v>2.807143402982799E-9</v>
      </c>
      <c r="O79" s="62" t="s">
        <v>1807</v>
      </c>
      <c r="P79" s="117">
        <v>1.0930748152185838E-6</v>
      </c>
      <c r="Q79" s="62" t="s">
        <v>1807</v>
      </c>
      <c r="R79" s="117">
        <v>1.2434163794126018E-5</v>
      </c>
      <c r="S79" s="62" t="s">
        <v>1808</v>
      </c>
      <c r="T79" s="117">
        <v>3.9131511528088368E-9</v>
      </c>
      <c r="U79" s="62" t="s">
        <v>1908</v>
      </c>
      <c r="V79" s="117" t="s">
        <v>1907</v>
      </c>
      <c r="W79" s="10" t="s">
        <v>1808</v>
      </c>
    </row>
    <row r="80" spans="2:23" ht="24.9" customHeight="1" x14ac:dyDescent="0.25">
      <c r="B80" s="16" t="s">
        <v>1025</v>
      </c>
      <c r="C80" s="17">
        <v>1400</v>
      </c>
      <c r="D80" s="117" t="s">
        <v>1907</v>
      </c>
      <c r="E80" s="62" t="s">
        <v>1808</v>
      </c>
      <c r="F80" s="117">
        <v>3.8955491795253231E-6</v>
      </c>
      <c r="G80" s="62" t="s">
        <v>1808</v>
      </c>
      <c r="H80" s="117">
        <v>1.3248546079991244E-7</v>
      </c>
      <c r="I80" s="62" t="s">
        <v>1908</v>
      </c>
      <c r="J80" s="117">
        <v>6.6200395273782511E-6</v>
      </c>
      <c r="K80" s="62" t="s">
        <v>1808</v>
      </c>
      <c r="L80" s="117">
        <v>7.473722180968975E-8</v>
      </c>
      <c r="M80" s="62" t="s">
        <v>1808</v>
      </c>
      <c r="N80" s="117">
        <v>1.7126883699813303E-9</v>
      </c>
      <c r="O80" s="62" t="s">
        <v>1807</v>
      </c>
      <c r="P80" s="117" t="s">
        <v>1907</v>
      </c>
      <c r="Q80" s="62" t="s">
        <v>1808</v>
      </c>
      <c r="R80" s="117">
        <v>4.6094635821380426E-6</v>
      </c>
      <c r="S80" s="62" t="s">
        <v>1808</v>
      </c>
      <c r="T80" s="117" t="s">
        <v>1907</v>
      </c>
      <c r="U80" s="62" t="s">
        <v>1808</v>
      </c>
      <c r="V80" s="117" t="s">
        <v>1907</v>
      </c>
      <c r="W80" s="10" t="s">
        <v>1808</v>
      </c>
    </row>
    <row r="81" spans="2:23" ht="24.9" customHeight="1" x14ac:dyDescent="0.25">
      <c r="B81" s="16" t="s">
        <v>1026</v>
      </c>
      <c r="C81" s="17">
        <v>100</v>
      </c>
      <c r="D81" s="117">
        <v>1.2021452576099133E-7</v>
      </c>
      <c r="E81" s="62" t="s">
        <v>1908</v>
      </c>
      <c r="F81" s="117">
        <v>1.2757315159565431E-6</v>
      </c>
      <c r="G81" s="62" t="s">
        <v>1807</v>
      </c>
      <c r="H81" s="117">
        <v>2.1932703818992545E-6</v>
      </c>
      <c r="I81" s="62" t="s">
        <v>1807</v>
      </c>
      <c r="J81" s="117">
        <v>4.8512553668803109E-6</v>
      </c>
      <c r="K81" s="62" t="s">
        <v>1807</v>
      </c>
      <c r="L81" s="117">
        <v>4.1379977333458951E-8</v>
      </c>
      <c r="M81" s="62" t="s">
        <v>1807</v>
      </c>
      <c r="N81" s="117">
        <v>5.7736470886538623E-9</v>
      </c>
      <c r="O81" s="62" t="s">
        <v>1908</v>
      </c>
      <c r="P81" s="117">
        <v>1.3322255795390933E-6</v>
      </c>
      <c r="Q81" s="62" t="s">
        <v>1908</v>
      </c>
      <c r="R81" s="117">
        <v>7.1257803572468561E-6</v>
      </c>
      <c r="S81" s="62" t="s">
        <v>1808</v>
      </c>
      <c r="T81" s="117">
        <v>5.4617440008125063E-9</v>
      </c>
      <c r="U81" s="62" t="s">
        <v>1908</v>
      </c>
      <c r="V81" s="117">
        <v>7.833189720773992E-7</v>
      </c>
      <c r="W81" s="10" t="s">
        <v>1807</v>
      </c>
    </row>
    <row r="82" spans="2:23" ht="24.9" customHeight="1" x14ac:dyDescent="0.25">
      <c r="B82" s="16" t="s">
        <v>1026</v>
      </c>
      <c r="C82" s="18">
        <v>200</v>
      </c>
      <c r="D82" s="117">
        <v>1.8741111080087908E-6</v>
      </c>
      <c r="E82" s="62" t="s">
        <v>1807</v>
      </c>
      <c r="F82" s="117">
        <v>3.5174709609141644E-6</v>
      </c>
      <c r="G82" s="62" t="s">
        <v>1808</v>
      </c>
      <c r="H82" s="117">
        <v>2.414250546016435E-7</v>
      </c>
      <c r="I82" s="62" t="s">
        <v>1908</v>
      </c>
      <c r="J82" s="117">
        <v>1.6986524590123539E-6</v>
      </c>
      <c r="K82" s="62" t="s">
        <v>1908</v>
      </c>
      <c r="L82" s="117">
        <v>9.6740920320636679E-8</v>
      </c>
      <c r="M82" s="62" t="s">
        <v>1808</v>
      </c>
      <c r="N82" s="117">
        <v>3.2937273901028803E-9</v>
      </c>
      <c r="O82" s="62" t="s">
        <v>1908</v>
      </c>
      <c r="P82" s="117">
        <v>1.3338866141095878E-7</v>
      </c>
      <c r="Q82" s="62" t="s">
        <v>1908</v>
      </c>
      <c r="R82" s="117">
        <v>8.7426855109494667E-6</v>
      </c>
      <c r="S82" s="62" t="s">
        <v>1808</v>
      </c>
      <c r="T82" s="117">
        <v>3.4104531183433E-10</v>
      </c>
      <c r="U82" s="62" t="s">
        <v>1908</v>
      </c>
      <c r="V82" s="117">
        <v>1.5024317585536468E-7</v>
      </c>
      <c r="W82" s="10" t="s">
        <v>1908</v>
      </c>
    </row>
    <row r="83" spans="2:23" ht="24.9" customHeight="1" x14ac:dyDescent="0.25">
      <c r="B83" s="16" t="s">
        <v>1026</v>
      </c>
      <c r="C83" s="18">
        <v>300</v>
      </c>
      <c r="D83" s="117">
        <v>2.5841747738416289E-6</v>
      </c>
      <c r="E83" s="62" t="s">
        <v>1807</v>
      </c>
      <c r="F83" s="117">
        <v>5.4662092425626253E-6</v>
      </c>
      <c r="G83" s="62" t="s">
        <v>1808</v>
      </c>
      <c r="H83" s="117">
        <v>9.2002776581433414E-5</v>
      </c>
      <c r="I83" s="62" t="s">
        <v>1808</v>
      </c>
      <c r="J83" s="117">
        <v>7.5004007779699521E-5</v>
      </c>
      <c r="K83" s="62" t="s">
        <v>1808</v>
      </c>
      <c r="L83" s="117">
        <v>8.1457705865141151E-8</v>
      </c>
      <c r="M83" s="62" t="s">
        <v>1808</v>
      </c>
      <c r="N83" s="117">
        <v>2.7947338925670259E-8</v>
      </c>
      <c r="O83" s="62" t="s">
        <v>1808</v>
      </c>
      <c r="P83" s="117">
        <v>2.2959947064454972E-6</v>
      </c>
      <c r="Q83" s="62" t="s">
        <v>1908</v>
      </c>
      <c r="R83" s="117">
        <v>8.6283114907613979E-6</v>
      </c>
      <c r="S83" s="62" t="s">
        <v>1808</v>
      </c>
      <c r="T83" s="117">
        <v>5.387031967612356E-8</v>
      </c>
      <c r="U83" s="62" t="s">
        <v>1807</v>
      </c>
      <c r="V83" s="117">
        <v>3.670237110511438E-5</v>
      </c>
      <c r="W83" s="10" t="s">
        <v>1808</v>
      </c>
    </row>
    <row r="84" spans="2:23" ht="24.9" customHeight="1" x14ac:dyDescent="0.25">
      <c r="B84" s="16" t="s">
        <v>1026</v>
      </c>
      <c r="C84" s="17">
        <v>400</v>
      </c>
      <c r="D84" s="117">
        <v>4.6537201399252856E-6</v>
      </c>
      <c r="E84" s="62" t="s">
        <v>1808</v>
      </c>
      <c r="F84" s="117">
        <v>6.6380788139746894E-6</v>
      </c>
      <c r="G84" s="62" t="s">
        <v>1808</v>
      </c>
      <c r="H84" s="117">
        <v>8.1135474142828941E-7</v>
      </c>
      <c r="I84" s="62" t="s">
        <v>1908</v>
      </c>
      <c r="J84" s="117">
        <v>5.1297887537280584E-6</v>
      </c>
      <c r="K84" s="62" t="s">
        <v>1807</v>
      </c>
      <c r="L84" s="117">
        <v>7.1145079118984797E-8</v>
      </c>
      <c r="M84" s="62" t="s">
        <v>1808</v>
      </c>
      <c r="N84" s="117">
        <v>6.5410988242390146E-9</v>
      </c>
      <c r="O84" s="62" t="s">
        <v>1908</v>
      </c>
      <c r="P84" s="117">
        <v>2.5016992375230977E-6</v>
      </c>
      <c r="Q84" s="62" t="s">
        <v>1908</v>
      </c>
      <c r="R84" s="117">
        <v>1.0656542024904978E-5</v>
      </c>
      <c r="S84" s="62" t="s">
        <v>1808</v>
      </c>
      <c r="T84" s="117">
        <v>6.8712126520805064E-9</v>
      </c>
      <c r="U84" s="62" t="s">
        <v>1908</v>
      </c>
      <c r="V84" s="117">
        <v>2.5916880319702792E-7</v>
      </c>
      <c r="W84" s="10" t="s">
        <v>1908</v>
      </c>
    </row>
    <row r="85" spans="2:23" ht="24.9" customHeight="1" x14ac:dyDescent="0.25">
      <c r="B85" s="16" t="s">
        <v>1026</v>
      </c>
      <c r="C85" s="18">
        <v>500</v>
      </c>
      <c r="D85" s="117">
        <v>6.4910785490263736E-6</v>
      </c>
      <c r="E85" s="62" t="s">
        <v>1808</v>
      </c>
      <c r="F85" s="117">
        <v>9.6933834383905005E-6</v>
      </c>
      <c r="G85" s="62" t="s">
        <v>1808</v>
      </c>
      <c r="H85" s="117">
        <v>7.6220675123246439E-7</v>
      </c>
      <c r="I85" s="62" t="s">
        <v>1908</v>
      </c>
      <c r="J85" s="117">
        <v>4.6650195101325802E-6</v>
      </c>
      <c r="K85" s="62" t="s">
        <v>1807</v>
      </c>
      <c r="L85" s="117">
        <v>6.8961239664623752E-8</v>
      </c>
      <c r="M85" s="62" t="s">
        <v>1808</v>
      </c>
      <c r="N85" s="117">
        <v>4.0619568850117145E-9</v>
      </c>
      <c r="O85" s="62" t="s">
        <v>1908</v>
      </c>
      <c r="P85" s="117">
        <v>6.302138737052022E-7</v>
      </c>
      <c r="Q85" s="62" t="s">
        <v>1908</v>
      </c>
      <c r="R85" s="117">
        <v>1.1786812643490276E-5</v>
      </c>
      <c r="S85" s="62" t="s">
        <v>1808</v>
      </c>
      <c r="T85" s="117">
        <v>1.0602468937227219E-8</v>
      </c>
      <c r="U85" s="62" t="s">
        <v>1908</v>
      </c>
      <c r="V85" s="117">
        <v>1.3043473248436255E-7</v>
      </c>
      <c r="W85" s="10" t="s">
        <v>1908</v>
      </c>
    </row>
    <row r="86" spans="2:23" ht="24.9" customHeight="1" x14ac:dyDescent="0.25">
      <c r="B86" s="16" t="s">
        <v>1027</v>
      </c>
      <c r="C86" s="17">
        <v>100</v>
      </c>
      <c r="D86" s="117">
        <v>1.138512850382432E-6</v>
      </c>
      <c r="E86" s="62" t="s">
        <v>1807</v>
      </c>
      <c r="F86" s="117">
        <v>1.8790588297500477E-6</v>
      </c>
      <c r="G86" s="62" t="s">
        <v>1808</v>
      </c>
      <c r="H86" s="117">
        <v>8.8501848635331548E-7</v>
      </c>
      <c r="I86" s="62" t="s">
        <v>1908</v>
      </c>
      <c r="J86" s="117">
        <v>4.158828225724713E-6</v>
      </c>
      <c r="K86" s="62" t="s">
        <v>1807</v>
      </c>
      <c r="L86" s="117">
        <v>5.0144529461626989E-8</v>
      </c>
      <c r="M86" s="62" t="s">
        <v>1807</v>
      </c>
      <c r="N86" s="117">
        <v>6.5985704388406143E-9</v>
      </c>
      <c r="O86" s="62" t="s">
        <v>1807</v>
      </c>
      <c r="P86" s="117">
        <v>7.7648901752481809E-7</v>
      </c>
      <c r="Q86" s="62" t="s">
        <v>1908</v>
      </c>
      <c r="R86" s="117">
        <v>8.8821708459268619E-6</v>
      </c>
      <c r="S86" s="62" t="s">
        <v>1808</v>
      </c>
      <c r="T86" s="117">
        <v>3.4419978691571862E-9</v>
      </c>
      <c r="U86" s="62" t="s">
        <v>1908</v>
      </c>
      <c r="V86" s="117">
        <v>3.3153943350529986E-7</v>
      </c>
      <c r="W86" s="10" t="s">
        <v>1908</v>
      </c>
    </row>
    <row r="87" spans="2:23" ht="24.9" customHeight="1" x14ac:dyDescent="0.25">
      <c r="B87" s="16" t="s">
        <v>1027</v>
      </c>
      <c r="C87" s="18">
        <v>200</v>
      </c>
      <c r="D87" s="117">
        <v>2.5144685268246139E-6</v>
      </c>
      <c r="E87" s="62" t="s">
        <v>1807</v>
      </c>
      <c r="F87" s="117">
        <v>3.9102623193516329E-6</v>
      </c>
      <c r="G87" s="62" t="s">
        <v>1808</v>
      </c>
      <c r="H87" s="117">
        <v>5.8223540563819656E-7</v>
      </c>
      <c r="I87" s="62" t="s">
        <v>1908</v>
      </c>
      <c r="J87" s="117">
        <v>3.0659048511526943E-6</v>
      </c>
      <c r="K87" s="62" t="s">
        <v>1908</v>
      </c>
      <c r="L87" s="117">
        <v>5.8055138756819925E-8</v>
      </c>
      <c r="M87" s="62" t="s">
        <v>1807</v>
      </c>
      <c r="N87" s="117">
        <v>5.8948155543683879E-9</v>
      </c>
      <c r="O87" s="62" t="s">
        <v>1908</v>
      </c>
      <c r="P87" s="117">
        <v>4.4829776159539109E-7</v>
      </c>
      <c r="Q87" s="62" t="s">
        <v>1908</v>
      </c>
      <c r="R87" s="117">
        <v>9.3163409632037636E-6</v>
      </c>
      <c r="S87" s="62" t="s">
        <v>1808</v>
      </c>
      <c r="T87" s="117">
        <v>1.9565909775510159E-8</v>
      </c>
      <c r="U87" s="62" t="s">
        <v>1908</v>
      </c>
      <c r="V87" s="117">
        <v>1.9442740128391186E-7</v>
      </c>
      <c r="W87" s="10" t="s">
        <v>1908</v>
      </c>
    </row>
    <row r="88" spans="2:23" ht="24.9" customHeight="1" x14ac:dyDescent="0.25">
      <c r="B88" s="16" t="s">
        <v>1027</v>
      </c>
      <c r="C88" s="18">
        <v>300</v>
      </c>
      <c r="D88" s="117">
        <v>4.0179203377328653E-6</v>
      </c>
      <c r="E88" s="62" t="s">
        <v>1808</v>
      </c>
      <c r="F88" s="117">
        <v>5.905408788108496E-6</v>
      </c>
      <c r="G88" s="62" t="s">
        <v>1808</v>
      </c>
      <c r="H88" s="117">
        <v>1.00525306601035E-6</v>
      </c>
      <c r="I88" s="62" t="s">
        <v>1908</v>
      </c>
      <c r="J88" s="117">
        <v>2.0881585533180309E-6</v>
      </c>
      <c r="K88" s="62" t="s">
        <v>1908</v>
      </c>
      <c r="L88" s="117">
        <v>6.3562005344837001E-8</v>
      </c>
      <c r="M88" s="62" t="s">
        <v>1808</v>
      </c>
      <c r="N88" s="117">
        <v>2.1513914956771107E-8</v>
      </c>
      <c r="O88" s="62" t="s">
        <v>1807</v>
      </c>
      <c r="P88" s="117">
        <v>6.5251054227873082E-7</v>
      </c>
      <c r="Q88" s="62" t="s">
        <v>1908</v>
      </c>
      <c r="R88" s="117">
        <v>9.1297592369880446E-6</v>
      </c>
      <c r="S88" s="62" t="s">
        <v>1808</v>
      </c>
      <c r="T88" s="117">
        <v>2.923931246233875E-9</v>
      </c>
      <c r="U88" s="62" t="s">
        <v>1908</v>
      </c>
      <c r="V88" s="117">
        <v>4.0069249867223105E-7</v>
      </c>
      <c r="W88" s="10" t="s">
        <v>1908</v>
      </c>
    </row>
    <row r="89" spans="2:23" ht="24.9" customHeight="1" x14ac:dyDescent="0.25">
      <c r="B89" s="16" t="s">
        <v>1027</v>
      </c>
      <c r="C89" s="17">
        <v>400</v>
      </c>
      <c r="D89" s="117">
        <v>6.3500458968088062E-6</v>
      </c>
      <c r="E89" s="62" t="s">
        <v>1808</v>
      </c>
      <c r="F89" s="117">
        <v>9.0826525550610417E-6</v>
      </c>
      <c r="G89" s="62" t="s">
        <v>1808</v>
      </c>
      <c r="H89" s="117">
        <v>5.9045707654274445E-7</v>
      </c>
      <c r="I89" s="62" t="s">
        <v>1908</v>
      </c>
      <c r="J89" s="117">
        <v>2.5822738762416E-6</v>
      </c>
      <c r="K89" s="62" t="s">
        <v>1908</v>
      </c>
      <c r="L89" s="117">
        <v>6.5492419728740058E-8</v>
      </c>
      <c r="M89" s="62" t="s">
        <v>1808</v>
      </c>
      <c r="N89" s="117">
        <v>5.2780495376920234E-9</v>
      </c>
      <c r="O89" s="62" t="s">
        <v>1908</v>
      </c>
      <c r="P89" s="117">
        <v>1.6128706685185404E-6</v>
      </c>
      <c r="Q89" s="62" t="s">
        <v>1908</v>
      </c>
      <c r="R89" s="117">
        <v>1.2344176920903694E-5</v>
      </c>
      <c r="S89" s="62" t="s">
        <v>1808</v>
      </c>
      <c r="T89" s="117">
        <v>3.7868262329301945E-9</v>
      </c>
      <c r="U89" s="62" t="s">
        <v>1908</v>
      </c>
      <c r="V89" s="117">
        <v>1.6294777628457392E-7</v>
      </c>
      <c r="W89" s="10" t="s">
        <v>1908</v>
      </c>
    </row>
    <row r="90" spans="2:23" ht="24.9" customHeight="1" x14ac:dyDescent="0.25">
      <c r="B90" s="16" t="s">
        <v>1027</v>
      </c>
      <c r="C90" s="18">
        <v>500</v>
      </c>
      <c r="D90" s="117">
        <v>6.8143784944760296E-6</v>
      </c>
      <c r="E90" s="62" t="s">
        <v>1808</v>
      </c>
      <c r="F90" s="117">
        <v>9.7214818037715574E-6</v>
      </c>
      <c r="G90" s="62" t="s">
        <v>1808</v>
      </c>
      <c r="H90" s="117">
        <v>2.818184898082482E-6</v>
      </c>
      <c r="I90" s="62" t="s">
        <v>1807</v>
      </c>
      <c r="J90" s="117">
        <v>3.2036275290872604E-6</v>
      </c>
      <c r="K90" s="62" t="s">
        <v>1908</v>
      </c>
      <c r="L90" s="117">
        <v>7.661416884097068E-8</v>
      </c>
      <c r="M90" s="62" t="s">
        <v>1808</v>
      </c>
      <c r="N90" s="117">
        <v>6.632894150635091E-9</v>
      </c>
      <c r="O90" s="62" t="s">
        <v>1908</v>
      </c>
      <c r="P90" s="117">
        <v>1.0324509846409447E-7</v>
      </c>
      <c r="Q90" s="62" t="s">
        <v>1908</v>
      </c>
      <c r="R90" s="117">
        <v>1.3357144033823284E-5</v>
      </c>
      <c r="S90" s="62" t="s">
        <v>1808</v>
      </c>
      <c r="T90" s="117">
        <v>6.1279830891060255E-9</v>
      </c>
      <c r="U90" s="62" t="s">
        <v>1908</v>
      </c>
      <c r="V90" s="117">
        <v>1.0625784621431494E-6</v>
      </c>
      <c r="W90" s="10" t="s">
        <v>1807</v>
      </c>
    </row>
    <row r="91" spans="2:23" ht="24.9" customHeight="1" x14ac:dyDescent="0.25">
      <c r="B91" s="16" t="s">
        <v>1028</v>
      </c>
      <c r="C91" s="17">
        <v>100</v>
      </c>
      <c r="D91" s="117">
        <v>7.5046745621579557E-7</v>
      </c>
      <c r="E91" s="62" t="s">
        <v>1908</v>
      </c>
      <c r="F91" s="117">
        <v>6.3207052560594658E-6</v>
      </c>
      <c r="G91" s="62" t="s">
        <v>1808</v>
      </c>
      <c r="H91" s="117">
        <v>3.6248589921151305E-5</v>
      </c>
      <c r="I91" s="62" t="s">
        <v>1808</v>
      </c>
      <c r="J91" s="117">
        <v>2.9543630700313341E-4</v>
      </c>
      <c r="K91" s="62" t="s">
        <v>1808</v>
      </c>
      <c r="L91" s="117">
        <v>8.7070438628508067E-8</v>
      </c>
      <c r="M91" s="62" t="s">
        <v>1808</v>
      </c>
      <c r="N91" s="117">
        <v>3.7281941262750355E-8</v>
      </c>
      <c r="O91" s="62" t="s">
        <v>1808</v>
      </c>
      <c r="P91" s="117">
        <v>1.5727733355604427E-6</v>
      </c>
      <c r="Q91" s="62" t="s">
        <v>1908</v>
      </c>
      <c r="R91" s="117">
        <v>1.6669591001561023E-5</v>
      </c>
      <c r="S91" s="62" t="s">
        <v>1808</v>
      </c>
      <c r="T91" s="117">
        <v>5.819224060165275E-8</v>
      </c>
      <c r="U91" s="62" t="s">
        <v>1807</v>
      </c>
      <c r="V91" s="117">
        <v>4.4900290542491853E-5</v>
      </c>
      <c r="W91" s="10" t="s">
        <v>1808</v>
      </c>
    </row>
    <row r="92" spans="2:23" ht="24.9" customHeight="1" x14ac:dyDescent="0.25">
      <c r="B92" s="16" t="s">
        <v>1028</v>
      </c>
      <c r="C92" s="18">
        <v>200</v>
      </c>
      <c r="D92" s="117">
        <v>1.169826497858321E-6</v>
      </c>
      <c r="E92" s="62" t="s">
        <v>1807</v>
      </c>
      <c r="F92" s="117">
        <v>2.1857847192966954E-6</v>
      </c>
      <c r="G92" s="62" t="s">
        <v>1808</v>
      </c>
      <c r="H92" s="117">
        <v>4.0161135802276778E-7</v>
      </c>
      <c r="I92" s="62" t="s">
        <v>1908</v>
      </c>
      <c r="J92" s="117">
        <v>1.1226059696032509E-6</v>
      </c>
      <c r="K92" s="62" t="s">
        <v>1908</v>
      </c>
      <c r="L92" s="117">
        <v>5.5938429909652441E-8</v>
      </c>
      <c r="M92" s="62" t="s">
        <v>1807</v>
      </c>
      <c r="N92" s="117">
        <v>5.9582242776163014E-9</v>
      </c>
      <c r="O92" s="62" t="s">
        <v>1908</v>
      </c>
      <c r="P92" s="117">
        <v>1.5802360671635658E-7</v>
      </c>
      <c r="Q92" s="62" t="s">
        <v>1908</v>
      </c>
      <c r="R92" s="117">
        <v>1.9985114532193312E-5</v>
      </c>
      <c r="S92" s="62" t="s">
        <v>1808</v>
      </c>
      <c r="T92" s="117" t="s">
        <v>1907</v>
      </c>
      <c r="U92" s="62" t="s">
        <v>1808</v>
      </c>
      <c r="V92" s="117">
        <v>2.9010592068230909E-8</v>
      </c>
      <c r="W92" s="10" t="s">
        <v>1908</v>
      </c>
    </row>
    <row r="93" spans="2:23" ht="24.9" customHeight="1" x14ac:dyDescent="0.25">
      <c r="B93" s="16" t="s">
        <v>1028</v>
      </c>
      <c r="C93" s="18">
        <v>300</v>
      </c>
      <c r="D93" s="117">
        <v>1.7023237154876387E-6</v>
      </c>
      <c r="E93" s="62" t="s">
        <v>1807</v>
      </c>
      <c r="F93" s="117">
        <v>4.0978319287166701E-6</v>
      </c>
      <c r="G93" s="62" t="s">
        <v>1808</v>
      </c>
      <c r="H93" s="117">
        <v>3.2237140847196919E-5</v>
      </c>
      <c r="I93" s="62" t="s">
        <v>1808</v>
      </c>
      <c r="J93" s="117">
        <v>8.2576325782833128E-5</v>
      </c>
      <c r="K93" s="62" t="s">
        <v>1808</v>
      </c>
      <c r="L93" s="117">
        <v>1.1126875895085275E-7</v>
      </c>
      <c r="M93" s="62" t="s">
        <v>1808</v>
      </c>
      <c r="N93" s="117">
        <v>2.3828239305611446E-8</v>
      </c>
      <c r="O93" s="62" t="s">
        <v>1808</v>
      </c>
      <c r="P93" s="117">
        <v>7.9013539267680783E-7</v>
      </c>
      <c r="Q93" s="62" t="s">
        <v>1908</v>
      </c>
      <c r="R93" s="117">
        <v>2.3418284795919576E-5</v>
      </c>
      <c r="S93" s="62" t="s">
        <v>1808</v>
      </c>
      <c r="T93" s="117">
        <v>1.9921849935267744E-8</v>
      </c>
      <c r="U93" s="62" t="s">
        <v>1908</v>
      </c>
      <c r="V93" s="117">
        <v>2.1490225632679386E-5</v>
      </c>
      <c r="W93" s="10" t="s">
        <v>1808</v>
      </c>
    </row>
    <row r="94" spans="2:23" ht="24.9" customHeight="1" x14ac:dyDescent="0.25">
      <c r="B94" s="16" t="s">
        <v>1028</v>
      </c>
      <c r="C94" s="17">
        <v>400</v>
      </c>
      <c r="D94" s="117">
        <v>2.6890160739105186E-7</v>
      </c>
      <c r="E94" s="62" t="s">
        <v>1908</v>
      </c>
      <c r="F94" s="117">
        <v>1.2616210691049929E-6</v>
      </c>
      <c r="G94" s="62" t="s">
        <v>1807</v>
      </c>
      <c r="H94" s="117">
        <v>5.0699683709754012E-7</v>
      </c>
      <c r="I94" s="62" t="s">
        <v>1908</v>
      </c>
      <c r="J94" s="117">
        <v>1.8307884584888426E-6</v>
      </c>
      <c r="K94" s="62" t="s">
        <v>1908</v>
      </c>
      <c r="L94" s="117">
        <v>4.4860927746088451E-8</v>
      </c>
      <c r="M94" s="62" t="s">
        <v>1807</v>
      </c>
      <c r="N94" s="117">
        <v>7.5736224731431902E-9</v>
      </c>
      <c r="O94" s="62" t="s">
        <v>1807</v>
      </c>
      <c r="P94" s="117" t="s">
        <v>1907</v>
      </c>
      <c r="Q94" s="62" t="s">
        <v>1808</v>
      </c>
      <c r="R94" s="117">
        <v>1.7057548135439337E-5</v>
      </c>
      <c r="S94" s="62" t="s">
        <v>1808</v>
      </c>
      <c r="T94" s="117">
        <v>3.6999826977206915E-10</v>
      </c>
      <c r="U94" s="62" t="s">
        <v>1908</v>
      </c>
      <c r="V94" s="117" t="s">
        <v>1907</v>
      </c>
      <c r="W94" s="10" t="s">
        <v>1808</v>
      </c>
    </row>
    <row r="95" spans="2:23" ht="24.9" customHeight="1" x14ac:dyDescent="0.25">
      <c r="B95" s="16" t="s">
        <v>1028</v>
      </c>
      <c r="C95" s="18">
        <v>500</v>
      </c>
      <c r="D95" s="117">
        <v>7.248754295498731E-7</v>
      </c>
      <c r="E95" s="62" t="s">
        <v>1908</v>
      </c>
      <c r="F95" s="117">
        <v>2.0614387005369021E-6</v>
      </c>
      <c r="G95" s="62" t="s">
        <v>1808</v>
      </c>
      <c r="H95" s="117">
        <v>4.2952692188179397E-7</v>
      </c>
      <c r="I95" s="62" t="s">
        <v>1908</v>
      </c>
      <c r="J95" s="117">
        <v>3.5927544183389959E-6</v>
      </c>
      <c r="K95" s="62" t="s">
        <v>1908</v>
      </c>
      <c r="L95" s="117">
        <v>4.7970894495642056E-8</v>
      </c>
      <c r="M95" s="62" t="s">
        <v>1807</v>
      </c>
      <c r="N95" s="117">
        <v>5.6835652418920594E-9</v>
      </c>
      <c r="O95" s="62" t="s">
        <v>1908</v>
      </c>
      <c r="P95" s="117">
        <v>2.5143751175050444E-7</v>
      </c>
      <c r="Q95" s="62" t="s">
        <v>1908</v>
      </c>
      <c r="R95" s="117">
        <v>1.7770381963894796E-5</v>
      </c>
      <c r="S95" s="62" t="s">
        <v>1808</v>
      </c>
      <c r="T95" s="117">
        <v>6.7928057573651803E-10</v>
      </c>
      <c r="U95" s="62" t="s">
        <v>1908</v>
      </c>
      <c r="V95" s="117" t="s">
        <v>1907</v>
      </c>
      <c r="W95" s="10" t="s">
        <v>1808</v>
      </c>
    </row>
    <row r="96" spans="2:23" ht="24.9" customHeight="1" x14ac:dyDescent="0.25">
      <c r="B96" s="16" t="s">
        <v>1029</v>
      </c>
      <c r="C96" s="17">
        <v>100</v>
      </c>
      <c r="D96" s="117">
        <v>6.287704243006898E-7</v>
      </c>
      <c r="E96" s="62" t="s">
        <v>1908</v>
      </c>
      <c r="F96" s="117">
        <v>2.4259115267617528E-6</v>
      </c>
      <c r="G96" s="62" t="s">
        <v>1808</v>
      </c>
      <c r="H96" s="117">
        <v>2.6241090016273468E-7</v>
      </c>
      <c r="I96" s="62" t="s">
        <v>1908</v>
      </c>
      <c r="J96" s="117">
        <v>4.2040551333117936E-6</v>
      </c>
      <c r="K96" s="62" t="s">
        <v>1807</v>
      </c>
      <c r="L96" s="117">
        <v>8.5973973273391736E-8</v>
      </c>
      <c r="M96" s="62" t="s">
        <v>1808</v>
      </c>
      <c r="N96" s="117">
        <v>2.3015254898308824E-8</v>
      </c>
      <c r="O96" s="62" t="s">
        <v>1808</v>
      </c>
      <c r="P96" s="117">
        <v>4.1641529821331954E-7</v>
      </c>
      <c r="Q96" s="62" t="s">
        <v>1908</v>
      </c>
      <c r="R96" s="117">
        <v>1.5189892656779955E-5</v>
      </c>
      <c r="S96" s="62" t="s">
        <v>1808</v>
      </c>
      <c r="T96" s="117">
        <v>1.9435235058695597E-9</v>
      </c>
      <c r="U96" s="62" t="s">
        <v>1908</v>
      </c>
      <c r="V96" s="117">
        <v>9.7354543303898809E-8</v>
      </c>
      <c r="W96" s="10" t="s">
        <v>1908</v>
      </c>
    </row>
    <row r="97" spans="2:23" ht="24.9" customHeight="1" x14ac:dyDescent="0.25">
      <c r="B97" s="16" t="s">
        <v>1029</v>
      </c>
      <c r="C97" s="18">
        <v>200</v>
      </c>
      <c r="D97" s="117">
        <v>5.3389905146975244E-7</v>
      </c>
      <c r="E97" s="62" t="s">
        <v>1908</v>
      </c>
      <c r="F97" s="117">
        <v>2.3673726137183136E-6</v>
      </c>
      <c r="G97" s="62" t="s">
        <v>1808</v>
      </c>
      <c r="H97" s="117">
        <v>7.9810183854991798E-6</v>
      </c>
      <c r="I97" s="62" t="s">
        <v>1808</v>
      </c>
      <c r="J97" s="117">
        <v>1.0299640986439539E-5</v>
      </c>
      <c r="K97" s="62" t="s">
        <v>1807</v>
      </c>
      <c r="L97" s="117">
        <v>7.5906985692682558E-8</v>
      </c>
      <c r="M97" s="62" t="s">
        <v>1808</v>
      </c>
      <c r="N97" s="117">
        <v>2.6841061677299388E-8</v>
      </c>
      <c r="O97" s="62" t="s">
        <v>1808</v>
      </c>
      <c r="P97" s="117">
        <v>1.4187914497725965E-7</v>
      </c>
      <c r="Q97" s="62" t="s">
        <v>1908</v>
      </c>
      <c r="R97" s="117">
        <v>1.8229509428381702E-5</v>
      </c>
      <c r="S97" s="62" t="s">
        <v>1808</v>
      </c>
      <c r="T97" s="117">
        <v>3.6478941846753769E-9</v>
      </c>
      <c r="U97" s="62" t="s">
        <v>1908</v>
      </c>
      <c r="V97" s="117">
        <v>2.8787141850917368E-6</v>
      </c>
      <c r="W97" s="10" t="s">
        <v>1808</v>
      </c>
    </row>
    <row r="98" spans="2:23" ht="24.9" customHeight="1" x14ac:dyDescent="0.25">
      <c r="B98" s="16" t="s">
        <v>1029</v>
      </c>
      <c r="C98" s="18">
        <v>300</v>
      </c>
      <c r="D98" s="117">
        <v>2.8176517463434035E-6</v>
      </c>
      <c r="E98" s="62" t="s">
        <v>1807</v>
      </c>
      <c r="F98" s="117">
        <v>2.5937261862983726E-6</v>
      </c>
      <c r="G98" s="62" t="s">
        <v>1808</v>
      </c>
      <c r="H98" s="117">
        <v>2.5102195729520015E-6</v>
      </c>
      <c r="I98" s="62" t="s">
        <v>1807</v>
      </c>
      <c r="J98" s="117">
        <v>4.5191490495274567E-6</v>
      </c>
      <c r="K98" s="62" t="s">
        <v>1908</v>
      </c>
      <c r="L98" s="117">
        <v>7.2965260002681649E-8</v>
      </c>
      <c r="M98" s="62" t="s">
        <v>1808</v>
      </c>
      <c r="N98" s="117">
        <v>2.2642022008760401E-8</v>
      </c>
      <c r="O98" s="62" t="s">
        <v>1807</v>
      </c>
      <c r="P98" s="117">
        <v>1.8640663493613709E-7</v>
      </c>
      <c r="Q98" s="62" t="s">
        <v>1908</v>
      </c>
      <c r="R98" s="117">
        <v>1.9047199401273314E-5</v>
      </c>
      <c r="S98" s="62" t="s">
        <v>1808</v>
      </c>
      <c r="T98" s="117">
        <v>8.3367928348754717E-10</v>
      </c>
      <c r="U98" s="62" t="s">
        <v>1908</v>
      </c>
      <c r="V98" s="117">
        <v>5.2287292118794002E-7</v>
      </c>
      <c r="W98" s="10" t="s">
        <v>1908</v>
      </c>
    </row>
    <row r="99" spans="2:23" ht="24.9" customHeight="1" x14ac:dyDescent="0.25">
      <c r="B99" s="16" t="s">
        <v>1029</v>
      </c>
      <c r="C99" s="17">
        <v>400</v>
      </c>
      <c r="D99" s="117">
        <v>1.3685583496324055E-6</v>
      </c>
      <c r="E99" s="62" t="s">
        <v>1807</v>
      </c>
      <c r="F99" s="117">
        <v>4.0238144053075051E-6</v>
      </c>
      <c r="G99" s="62" t="s">
        <v>1808</v>
      </c>
      <c r="H99" s="117">
        <v>9.1987850945350911E-5</v>
      </c>
      <c r="I99" s="62" t="s">
        <v>1808</v>
      </c>
      <c r="J99" s="117">
        <v>5.161009603711068E-5</v>
      </c>
      <c r="K99" s="62" t="s">
        <v>1808</v>
      </c>
      <c r="L99" s="117">
        <v>9.1101572384068204E-8</v>
      </c>
      <c r="M99" s="62" t="s">
        <v>1808</v>
      </c>
      <c r="N99" s="117">
        <v>3.5300398738998361E-8</v>
      </c>
      <c r="O99" s="62" t="s">
        <v>1808</v>
      </c>
      <c r="P99" s="117">
        <v>2.0771840057013921E-6</v>
      </c>
      <c r="Q99" s="62" t="s">
        <v>1908</v>
      </c>
      <c r="R99" s="117">
        <v>2.1488149014527644E-5</v>
      </c>
      <c r="S99" s="62" t="s">
        <v>1808</v>
      </c>
      <c r="T99" s="117">
        <v>4.3547201317624141E-8</v>
      </c>
      <c r="U99" s="62" t="s">
        <v>1807</v>
      </c>
      <c r="V99" s="117">
        <v>2.3095060854359612E-5</v>
      </c>
      <c r="W99" s="10" t="s">
        <v>1808</v>
      </c>
    </row>
    <row r="100" spans="2:23" ht="24.9" customHeight="1" x14ac:dyDescent="0.25">
      <c r="B100" s="16" t="s">
        <v>1029</v>
      </c>
      <c r="C100" s="18">
        <v>500</v>
      </c>
      <c r="D100" s="117">
        <v>2.117622313575363E-6</v>
      </c>
      <c r="E100" s="62" t="s">
        <v>1807</v>
      </c>
      <c r="F100" s="117">
        <v>4.9351556689599885E-6</v>
      </c>
      <c r="G100" s="62" t="s">
        <v>1808</v>
      </c>
      <c r="H100" s="117">
        <v>3.3098552691526037E-6</v>
      </c>
      <c r="I100" s="62" t="s">
        <v>1807</v>
      </c>
      <c r="J100" s="117">
        <v>8.3567509085264932E-6</v>
      </c>
      <c r="K100" s="62" t="s">
        <v>1807</v>
      </c>
      <c r="L100" s="117">
        <v>1.018357014463388E-7</v>
      </c>
      <c r="M100" s="62" t="s">
        <v>1808</v>
      </c>
      <c r="N100" s="117">
        <v>3.3082491025701818E-8</v>
      </c>
      <c r="O100" s="62" t="s">
        <v>1808</v>
      </c>
      <c r="P100" s="117">
        <v>2.1443323580937151E-6</v>
      </c>
      <c r="Q100" s="62" t="s">
        <v>1908</v>
      </c>
      <c r="R100" s="117">
        <v>2.6846885403766882E-5</v>
      </c>
      <c r="S100" s="62" t="s">
        <v>1808</v>
      </c>
      <c r="T100" s="117">
        <v>6.111411051024036E-9</v>
      </c>
      <c r="U100" s="62" t="s">
        <v>1908</v>
      </c>
      <c r="V100" s="117">
        <v>1.7257382770264843E-6</v>
      </c>
      <c r="W100" s="10" t="s">
        <v>1807</v>
      </c>
    </row>
    <row r="101" spans="2:23" ht="24.9" customHeight="1" x14ac:dyDescent="0.25">
      <c r="B101" s="16" t="s">
        <v>1030</v>
      </c>
      <c r="C101" s="17">
        <v>100</v>
      </c>
      <c r="D101" s="117">
        <v>4.6831226301232586E-7</v>
      </c>
      <c r="E101" s="62" t="s">
        <v>1908</v>
      </c>
      <c r="F101" s="117">
        <v>4.3584496666568792E-6</v>
      </c>
      <c r="G101" s="62" t="s">
        <v>1808</v>
      </c>
      <c r="H101" s="117">
        <v>3.9612342163519124E-6</v>
      </c>
      <c r="I101" s="62" t="s">
        <v>1808</v>
      </c>
      <c r="J101" s="117">
        <v>7.0104934552938642E-6</v>
      </c>
      <c r="K101" s="62" t="s">
        <v>1807</v>
      </c>
      <c r="L101" s="117">
        <v>6.0611301971970472E-8</v>
      </c>
      <c r="M101" s="62" t="s">
        <v>1807</v>
      </c>
      <c r="N101" s="117">
        <v>9.295567430261963E-9</v>
      </c>
      <c r="O101" s="62" t="s">
        <v>1807</v>
      </c>
      <c r="P101" s="117">
        <v>4.9472720213031068E-8</v>
      </c>
      <c r="Q101" s="62" t="s">
        <v>1908</v>
      </c>
      <c r="R101" s="117">
        <v>4.9289897034866562E-6</v>
      </c>
      <c r="S101" s="62" t="s">
        <v>1808</v>
      </c>
      <c r="T101" s="117">
        <v>1.9801782098624342E-9</v>
      </c>
      <c r="U101" s="62" t="s">
        <v>1908</v>
      </c>
      <c r="V101" s="117">
        <v>1.4981578484491609E-6</v>
      </c>
      <c r="W101" s="10" t="s">
        <v>1807</v>
      </c>
    </row>
    <row r="102" spans="2:23" ht="24.9" customHeight="1" x14ac:dyDescent="0.25">
      <c r="B102" s="16" t="s">
        <v>1030</v>
      </c>
      <c r="C102" s="18">
        <v>200</v>
      </c>
      <c r="D102" s="117">
        <v>1.3591704743711941E-6</v>
      </c>
      <c r="E102" s="62" t="s">
        <v>1807</v>
      </c>
      <c r="F102" s="117">
        <v>9.7645530471691954E-7</v>
      </c>
      <c r="G102" s="62" t="s">
        <v>1807</v>
      </c>
      <c r="H102" s="117">
        <v>1.5879514211305771E-6</v>
      </c>
      <c r="I102" s="62" t="s">
        <v>1807</v>
      </c>
      <c r="J102" s="117">
        <v>4.4331419314372296E-6</v>
      </c>
      <c r="K102" s="62" t="s">
        <v>1807</v>
      </c>
      <c r="L102" s="117">
        <v>5.9513886325481704E-8</v>
      </c>
      <c r="M102" s="62" t="s">
        <v>1807</v>
      </c>
      <c r="N102" s="117">
        <v>1.2526300491885076E-8</v>
      </c>
      <c r="O102" s="62" t="s">
        <v>1807</v>
      </c>
      <c r="P102" s="117">
        <v>8.4692679954679323E-7</v>
      </c>
      <c r="Q102" s="62" t="s">
        <v>1908</v>
      </c>
      <c r="R102" s="117">
        <v>9.5696494455292604E-6</v>
      </c>
      <c r="S102" s="62" t="s">
        <v>1808</v>
      </c>
      <c r="T102" s="117">
        <v>4.4345370856045768E-9</v>
      </c>
      <c r="U102" s="62" t="s">
        <v>1908</v>
      </c>
      <c r="V102" s="117">
        <v>8.7749926557744411E-7</v>
      </c>
      <c r="W102" s="10" t="s">
        <v>1807</v>
      </c>
    </row>
    <row r="103" spans="2:23" ht="24.9" customHeight="1" x14ac:dyDescent="0.25">
      <c r="B103" s="16" t="s">
        <v>1030</v>
      </c>
      <c r="C103" s="18">
        <v>300</v>
      </c>
      <c r="D103" s="117">
        <v>5.8641590880270317E-7</v>
      </c>
      <c r="E103" s="62" t="s">
        <v>1908</v>
      </c>
      <c r="F103" s="117">
        <v>1.6704471215721592E-6</v>
      </c>
      <c r="G103" s="62" t="s">
        <v>1807</v>
      </c>
      <c r="H103" s="117">
        <v>2.0982076123882979E-6</v>
      </c>
      <c r="I103" s="62" t="s">
        <v>1807</v>
      </c>
      <c r="J103" s="117">
        <v>4.2052531568181823E-6</v>
      </c>
      <c r="K103" s="62" t="s">
        <v>1807</v>
      </c>
      <c r="L103" s="117">
        <v>7.0594195363345909E-8</v>
      </c>
      <c r="M103" s="62" t="s">
        <v>1808</v>
      </c>
      <c r="N103" s="117">
        <v>1.517111858391347E-8</v>
      </c>
      <c r="O103" s="62" t="s">
        <v>1807</v>
      </c>
      <c r="P103" s="117">
        <v>8.4446530164700171E-7</v>
      </c>
      <c r="Q103" s="62" t="s">
        <v>1908</v>
      </c>
      <c r="R103" s="117">
        <v>1.298536325615672E-5</v>
      </c>
      <c r="S103" s="62" t="s">
        <v>1808</v>
      </c>
      <c r="T103" s="117">
        <v>3.5044577587891855E-9</v>
      </c>
      <c r="U103" s="62" t="s">
        <v>1908</v>
      </c>
      <c r="V103" s="117">
        <v>8.4739025870801203E-7</v>
      </c>
      <c r="W103" s="10" t="s">
        <v>1807</v>
      </c>
    </row>
    <row r="104" spans="2:23" ht="24.9" customHeight="1" x14ac:dyDescent="0.25">
      <c r="B104" s="16" t="s">
        <v>1030</v>
      </c>
      <c r="C104" s="17">
        <v>400</v>
      </c>
      <c r="D104" s="117">
        <v>1.7495404117532491E-6</v>
      </c>
      <c r="E104" s="62" t="s">
        <v>1807</v>
      </c>
      <c r="F104" s="117">
        <v>2.4418717305434771E-6</v>
      </c>
      <c r="G104" s="62" t="s">
        <v>1808</v>
      </c>
      <c r="H104" s="117">
        <v>1.3502478123697765E-6</v>
      </c>
      <c r="I104" s="62" t="s">
        <v>1807</v>
      </c>
      <c r="J104" s="117">
        <v>3.2870923319321086E-6</v>
      </c>
      <c r="K104" s="62" t="s">
        <v>1908</v>
      </c>
      <c r="L104" s="117">
        <v>9.0292673832338267E-8</v>
      </c>
      <c r="M104" s="62" t="s">
        <v>1808</v>
      </c>
      <c r="N104" s="117">
        <v>1.7861699038737022E-8</v>
      </c>
      <c r="O104" s="62" t="s">
        <v>1807</v>
      </c>
      <c r="P104" s="117">
        <v>4.6441432967133978E-8</v>
      </c>
      <c r="Q104" s="62" t="s">
        <v>1908</v>
      </c>
      <c r="R104" s="117">
        <v>1.581593894985164E-5</v>
      </c>
      <c r="S104" s="62" t="s">
        <v>1808</v>
      </c>
      <c r="T104" s="117">
        <v>3.4771422505816111E-9</v>
      </c>
      <c r="U104" s="62" t="s">
        <v>1908</v>
      </c>
      <c r="V104" s="117">
        <v>7.6697828427108625E-7</v>
      </c>
      <c r="W104" s="10" t="s">
        <v>1908</v>
      </c>
    </row>
    <row r="105" spans="2:23" ht="24.9" customHeight="1" x14ac:dyDescent="0.25">
      <c r="B105" s="16" t="s">
        <v>1030</v>
      </c>
      <c r="C105" s="18">
        <v>500</v>
      </c>
      <c r="D105" s="117">
        <v>1.6672409421222715E-6</v>
      </c>
      <c r="E105" s="62" t="s">
        <v>1807</v>
      </c>
      <c r="F105" s="117">
        <v>3.156865514313067E-6</v>
      </c>
      <c r="G105" s="62" t="s">
        <v>1808</v>
      </c>
      <c r="H105" s="117">
        <v>4.342806096529744E-6</v>
      </c>
      <c r="I105" s="62" t="s">
        <v>1808</v>
      </c>
      <c r="J105" s="117">
        <v>7.8914199997670118E-6</v>
      </c>
      <c r="K105" s="62" t="s">
        <v>1807</v>
      </c>
      <c r="L105" s="117">
        <v>1.0604088071994107E-7</v>
      </c>
      <c r="M105" s="62" t="s">
        <v>1808</v>
      </c>
      <c r="N105" s="117">
        <v>1.8050319802877545E-8</v>
      </c>
      <c r="O105" s="62" t="s">
        <v>1807</v>
      </c>
      <c r="P105" s="117">
        <v>4.9360600942607075E-8</v>
      </c>
      <c r="Q105" s="62" t="s">
        <v>1908</v>
      </c>
      <c r="R105" s="117">
        <v>1.5901647546898029E-5</v>
      </c>
      <c r="S105" s="62" t="s">
        <v>1808</v>
      </c>
      <c r="T105" s="117">
        <v>1.162687277785204E-8</v>
      </c>
      <c r="U105" s="62" t="s">
        <v>1908</v>
      </c>
      <c r="V105" s="117">
        <v>1.6930400524534165E-6</v>
      </c>
      <c r="W105" s="10" t="s">
        <v>1807</v>
      </c>
    </row>
    <row r="106" spans="2:23" ht="24.9" customHeight="1" x14ac:dyDescent="0.25">
      <c r="B106" s="16" t="s">
        <v>1350</v>
      </c>
      <c r="C106" s="17">
        <v>100</v>
      </c>
      <c r="D106" s="117">
        <v>5.3882173046448929E-8</v>
      </c>
      <c r="E106" s="54" t="s">
        <v>1908</v>
      </c>
      <c r="F106" s="117">
        <v>1.3817534583561921E-4</v>
      </c>
      <c r="G106" s="54" t="s">
        <v>1808</v>
      </c>
      <c r="H106" s="117">
        <v>1.8823880819406242E-4</v>
      </c>
      <c r="I106" s="54" t="s">
        <v>1808</v>
      </c>
      <c r="J106" s="117">
        <v>5.5206042618648329E-4</v>
      </c>
      <c r="K106" s="54" t="s">
        <v>1808</v>
      </c>
      <c r="L106" s="117">
        <v>1.6112540653190548E-7</v>
      </c>
      <c r="M106" s="54" t="s">
        <v>1808</v>
      </c>
      <c r="N106" s="117">
        <v>6.3125198184001968E-8</v>
      </c>
      <c r="O106" s="54" t="s">
        <v>1808</v>
      </c>
      <c r="P106" s="117">
        <v>1.1304749542593239E-5</v>
      </c>
      <c r="Q106" s="54" t="s">
        <v>1808</v>
      </c>
      <c r="R106" s="117">
        <v>6.8564832323118179E-6</v>
      </c>
      <c r="S106" s="54" t="s">
        <v>1808</v>
      </c>
      <c r="T106" s="117">
        <v>1.1699200727127786E-6</v>
      </c>
      <c r="U106" s="54" t="s">
        <v>1808</v>
      </c>
      <c r="V106" s="117">
        <v>1.6292485608196709E-4</v>
      </c>
      <c r="W106" s="10" t="s">
        <v>1808</v>
      </c>
    </row>
    <row r="107" spans="2:23" ht="24.9" customHeight="1" x14ac:dyDescent="0.25">
      <c r="B107" s="16" t="s">
        <v>1351</v>
      </c>
      <c r="C107" s="18">
        <v>200</v>
      </c>
      <c r="D107" s="117">
        <v>1.7847043319148508E-6</v>
      </c>
      <c r="E107" s="54" t="s">
        <v>1807</v>
      </c>
      <c r="F107" s="117">
        <v>3.5480294261212039E-4</v>
      </c>
      <c r="G107" s="54" t="s">
        <v>1808</v>
      </c>
      <c r="H107" s="117">
        <v>3.7102231127492439E-4</v>
      </c>
      <c r="I107" s="54" t="s">
        <v>1808</v>
      </c>
      <c r="J107" s="117">
        <v>1.2729838701182883E-3</v>
      </c>
      <c r="K107" s="54" t="s">
        <v>1808</v>
      </c>
      <c r="L107" s="117">
        <v>2.1510121544319186E-7</v>
      </c>
      <c r="M107" s="54" t="s">
        <v>1808</v>
      </c>
      <c r="N107" s="117">
        <v>1.5100576519029777E-7</v>
      </c>
      <c r="O107" s="54" t="s">
        <v>1808</v>
      </c>
      <c r="P107" s="117">
        <v>2.4932196763431331E-5</v>
      </c>
      <c r="Q107" s="54" t="s">
        <v>1808</v>
      </c>
      <c r="R107" s="117">
        <v>2.008878875800888E-5</v>
      </c>
      <c r="S107" s="54" t="s">
        <v>1808</v>
      </c>
      <c r="T107" s="117">
        <v>2.3111591504747842E-6</v>
      </c>
      <c r="U107" s="54" t="s">
        <v>1808</v>
      </c>
      <c r="V107" s="117">
        <v>3.61430777325767E-4</v>
      </c>
      <c r="W107" s="10" t="s">
        <v>1808</v>
      </c>
    </row>
    <row r="108" spans="2:23" ht="24.9" customHeight="1" x14ac:dyDescent="0.25">
      <c r="B108" s="24" t="s">
        <v>1351</v>
      </c>
      <c r="C108" s="18">
        <v>300</v>
      </c>
      <c r="D108" s="117">
        <v>2.9538963626433558E-6</v>
      </c>
      <c r="E108" s="54" t="s">
        <v>1807</v>
      </c>
      <c r="F108" s="117">
        <v>1.4877727699912302E-4</v>
      </c>
      <c r="G108" s="54" t="s">
        <v>1808</v>
      </c>
      <c r="H108" s="117">
        <v>2.4191747245315645E-4</v>
      </c>
      <c r="I108" s="54" t="s">
        <v>1808</v>
      </c>
      <c r="J108" s="117">
        <v>6.0413792802702776E-4</v>
      </c>
      <c r="K108" s="54" t="s">
        <v>1808</v>
      </c>
      <c r="L108" s="117">
        <v>2.1598480920651437E-7</v>
      </c>
      <c r="M108" s="54" t="s">
        <v>1808</v>
      </c>
      <c r="N108" s="117">
        <v>7.2245622755884277E-8</v>
      </c>
      <c r="O108" s="54" t="s">
        <v>1808</v>
      </c>
      <c r="P108" s="117">
        <v>1.0687042421640863E-5</v>
      </c>
      <c r="Q108" s="54" t="s">
        <v>1808</v>
      </c>
      <c r="R108" s="117">
        <v>1.2749267568071128E-5</v>
      </c>
      <c r="S108" s="54" t="s">
        <v>1808</v>
      </c>
      <c r="T108" s="117">
        <v>9.2629056014212153E-7</v>
      </c>
      <c r="U108" s="54" t="s">
        <v>1808</v>
      </c>
      <c r="V108" s="117">
        <v>1.6788414937966302E-4</v>
      </c>
      <c r="W108" s="10" t="s">
        <v>1808</v>
      </c>
    </row>
    <row r="109" spans="2:23" ht="24.9" customHeight="1" x14ac:dyDescent="0.25">
      <c r="B109" s="24" t="s">
        <v>1351</v>
      </c>
      <c r="C109" s="17">
        <v>400</v>
      </c>
      <c r="D109" s="117">
        <v>1.7062583257013621E-6</v>
      </c>
      <c r="E109" s="54" t="s">
        <v>1807</v>
      </c>
      <c r="F109" s="117">
        <v>4.3483066162140488E-5</v>
      </c>
      <c r="G109" s="54" t="s">
        <v>1808</v>
      </c>
      <c r="H109" s="117">
        <v>1.2560095162052364E-4</v>
      </c>
      <c r="I109" s="54" t="s">
        <v>1808</v>
      </c>
      <c r="J109" s="117">
        <v>2.0425046370247256E-4</v>
      </c>
      <c r="K109" s="54" t="s">
        <v>1808</v>
      </c>
      <c r="L109" s="117">
        <v>2.030816179835709E-7</v>
      </c>
      <c r="M109" s="54" t="s">
        <v>1808</v>
      </c>
      <c r="N109" s="117">
        <v>2.8797053692640851E-8</v>
      </c>
      <c r="O109" s="54" t="s">
        <v>1808</v>
      </c>
      <c r="P109" s="117">
        <v>3.165696462704513E-6</v>
      </c>
      <c r="Q109" s="54" t="s">
        <v>1807</v>
      </c>
      <c r="R109" s="117">
        <v>9.5333696224181677E-6</v>
      </c>
      <c r="S109" s="54" t="s">
        <v>1808</v>
      </c>
      <c r="T109" s="117">
        <v>3.0279010863374025E-7</v>
      </c>
      <c r="U109" s="54" t="s">
        <v>1808</v>
      </c>
      <c r="V109" s="117">
        <v>6.0521844203239953E-5</v>
      </c>
      <c r="W109" s="10" t="s">
        <v>1808</v>
      </c>
    </row>
    <row r="110" spans="2:23" ht="24.9" customHeight="1" x14ac:dyDescent="0.25">
      <c r="B110" s="24" t="s">
        <v>1350</v>
      </c>
      <c r="C110" s="18">
        <v>500</v>
      </c>
      <c r="D110" s="117">
        <v>5.2034358642992888E-7</v>
      </c>
      <c r="E110" s="54" t="s">
        <v>1807</v>
      </c>
      <c r="F110" s="117">
        <v>1.5298721291405067E-5</v>
      </c>
      <c r="G110" s="54" t="s">
        <v>1808</v>
      </c>
      <c r="H110" s="117">
        <v>3.2506661142220584E-5</v>
      </c>
      <c r="I110" s="54" t="s">
        <v>1808</v>
      </c>
      <c r="J110" s="117">
        <v>5.6636873258830384E-5</v>
      </c>
      <c r="K110" s="54" t="s">
        <v>1808</v>
      </c>
      <c r="L110" s="117">
        <v>1.3828406168317678E-7</v>
      </c>
      <c r="M110" s="54" t="s">
        <v>1808</v>
      </c>
      <c r="N110" s="117">
        <v>1.1353102343178061E-8</v>
      </c>
      <c r="O110" s="54" t="s">
        <v>1808</v>
      </c>
      <c r="P110" s="117">
        <v>1.3554005018298898E-6</v>
      </c>
      <c r="Q110" s="54" t="s">
        <v>1807</v>
      </c>
      <c r="R110" s="117">
        <v>5.4319183906021723E-6</v>
      </c>
      <c r="S110" s="54" t="s">
        <v>1808</v>
      </c>
      <c r="T110" s="117">
        <v>8.0067051989230295E-8</v>
      </c>
      <c r="U110" s="54" t="s">
        <v>1808</v>
      </c>
      <c r="V110" s="117">
        <v>1.9538154369441175E-5</v>
      </c>
      <c r="W110" s="10" t="s">
        <v>1808</v>
      </c>
    </row>
    <row r="111" spans="2:23" ht="24.9" customHeight="1" x14ac:dyDescent="0.25">
      <c r="B111" s="24" t="s">
        <v>1352</v>
      </c>
      <c r="C111" s="17">
        <v>100</v>
      </c>
      <c r="D111" s="117">
        <v>9.353509597673816E-8</v>
      </c>
      <c r="E111" s="54" t="s">
        <v>1908</v>
      </c>
      <c r="F111" s="117">
        <v>4.1756369289448838E-5</v>
      </c>
      <c r="G111" s="54" t="s">
        <v>1808</v>
      </c>
      <c r="H111" s="117">
        <v>7.5707535241434148E-4</v>
      </c>
      <c r="I111" s="54" t="s">
        <v>1808</v>
      </c>
      <c r="J111" s="117">
        <v>1.5296607210813578E-3</v>
      </c>
      <c r="K111" s="54" t="s">
        <v>1808</v>
      </c>
      <c r="L111" s="117">
        <v>1.8672961210898461E-7</v>
      </c>
      <c r="M111" s="54" t="s">
        <v>1808</v>
      </c>
      <c r="N111" s="117">
        <v>1.6791108617632676E-7</v>
      </c>
      <c r="O111" s="54" t="s">
        <v>1808</v>
      </c>
      <c r="P111" s="117">
        <v>2.324010396454098E-5</v>
      </c>
      <c r="Q111" s="54" t="s">
        <v>1808</v>
      </c>
      <c r="R111" s="117">
        <v>3.4670572513054509E-6</v>
      </c>
      <c r="S111" s="54" t="s">
        <v>1808</v>
      </c>
      <c r="T111" s="117">
        <v>5.2798382738466476E-6</v>
      </c>
      <c r="U111" s="54" t="s">
        <v>1808</v>
      </c>
      <c r="V111" s="117">
        <v>4.5906140430419399E-4</v>
      </c>
      <c r="W111" s="10" t="s">
        <v>1808</v>
      </c>
    </row>
    <row r="112" spans="2:23" ht="24.9" customHeight="1" x14ac:dyDescent="0.25">
      <c r="B112" s="24" t="s">
        <v>1352</v>
      </c>
      <c r="C112" s="18">
        <v>200</v>
      </c>
      <c r="D112" s="117">
        <v>2.7927756688627073E-6</v>
      </c>
      <c r="E112" s="54" t="s">
        <v>1908</v>
      </c>
      <c r="F112" s="117">
        <v>6.9216063102982091E-5</v>
      </c>
      <c r="G112" s="54" t="s">
        <v>1808</v>
      </c>
      <c r="H112" s="117">
        <v>9.7529329705055496E-4</v>
      </c>
      <c r="I112" s="54" t="s">
        <v>1808</v>
      </c>
      <c r="J112" s="117">
        <v>2.784527251431248E-3</v>
      </c>
      <c r="K112" s="54" t="s">
        <v>1808</v>
      </c>
      <c r="L112" s="117">
        <v>2.5588558049611673E-7</v>
      </c>
      <c r="M112" s="54" t="s">
        <v>1808</v>
      </c>
      <c r="N112" s="117">
        <v>3.3573296677649968E-7</v>
      </c>
      <c r="O112" s="54" t="s">
        <v>1808</v>
      </c>
      <c r="P112" s="117">
        <v>3.7793036537773162E-5</v>
      </c>
      <c r="Q112" s="54" t="s">
        <v>1808</v>
      </c>
      <c r="R112" s="117">
        <v>7.1661879211159061E-6</v>
      </c>
      <c r="S112" s="54" t="s">
        <v>1808</v>
      </c>
      <c r="T112" s="117">
        <v>7.3475718162328705E-6</v>
      </c>
      <c r="U112" s="54" t="s">
        <v>1808</v>
      </c>
      <c r="V112" s="117">
        <v>8.8580650763415199E-4</v>
      </c>
      <c r="W112" s="10" t="s">
        <v>1808</v>
      </c>
    </row>
    <row r="113" spans="2:23" ht="24.9" customHeight="1" x14ac:dyDescent="0.25">
      <c r="B113" s="24" t="s">
        <v>1352</v>
      </c>
      <c r="C113" s="18">
        <v>300</v>
      </c>
      <c r="D113" s="117">
        <v>6.8555342340077202E-7</v>
      </c>
      <c r="E113" s="54" t="s">
        <v>1808</v>
      </c>
      <c r="F113" s="117">
        <v>2.3137146096088476E-5</v>
      </c>
      <c r="G113" s="54" t="s">
        <v>1808</v>
      </c>
      <c r="H113" s="117">
        <v>3.4666035088650544E-4</v>
      </c>
      <c r="I113" s="54" t="s">
        <v>1808</v>
      </c>
      <c r="J113" s="117">
        <v>8.8223407118141674E-4</v>
      </c>
      <c r="K113" s="54" t="s">
        <v>1808</v>
      </c>
      <c r="L113" s="117">
        <v>2.6854878783759467E-7</v>
      </c>
      <c r="M113" s="54" t="s">
        <v>1808</v>
      </c>
      <c r="N113" s="117">
        <v>2.8507013668437384E-7</v>
      </c>
      <c r="O113" s="54" t="s">
        <v>1808</v>
      </c>
      <c r="P113" s="117">
        <v>1.1111515379219286E-5</v>
      </c>
      <c r="Q113" s="54" t="s">
        <v>1807</v>
      </c>
      <c r="R113" s="117">
        <v>4.8197391151994114E-6</v>
      </c>
      <c r="S113" s="54" t="s">
        <v>1808</v>
      </c>
      <c r="T113" s="117">
        <v>2.50514398660113E-6</v>
      </c>
      <c r="U113" s="54" t="s">
        <v>1808</v>
      </c>
      <c r="V113" s="117">
        <v>3.1716884243105774E-4</v>
      </c>
      <c r="W113" s="10" t="s">
        <v>1808</v>
      </c>
    </row>
    <row r="114" spans="2:23" ht="24.9" customHeight="1" x14ac:dyDescent="0.25">
      <c r="B114" s="24" t="s">
        <v>1352</v>
      </c>
      <c r="C114" s="17">
        <v>400</v>
      </c>
      <c r="D114" s="117" t="s">
        <v>1907</v>
      </c>
      <c r="E114" s="54" t="s">
        <v>1908</v>
      </c>
      <c r="F114" s="117">
        <v>2.1567996361344735E-6</v>
      </c>
      <c r="G114" s="54" t="s">
        <v>1808</v>
      </c>
      <c r="H114" s="117">
        <v>2.3705453746523401E-5</v>
      </c>
      <c r="I114" s="54" t="s">
        <v>1808</v>
      </c>
      <c r="J114" s="117">
        <v>1.6734855882913059E-4</v>
      </c>
      <c r="K114" s="54" t="s">
        <v>1808</v>
      </c>
      <c r="L114" s="117">
        <v>1.2426235716207232E-7</v>
      </c>
      <c r="M114" s="54" t="s">
        <v>1808</v>
      </c>
      <c r="N114" s="117">
        <v>1.45085747969455E-7</v>
      </c>
      <c r="O114" s="54" t="s">
        <v>1808</v>
      </c>
      <c r="P114" s="117">
        <v>3.3086759452853913E-6</v>
      </c>
      <c r="Q114" s="54" t="s">
        <v>1908</v>
      </c>
      <c r="R114" s="117">
        <v>1.7634681701633231E-6</v>
      </c>
      <c r="S114" s="54" t="s">
        <v>1808</v>
      </c>
      <c r="T114" s="117">
        <v>2.946830865324724E-6</v>
      </c>
      <c r="U114" s="54" t="s">
        <v>1808</v>
      </c>
      <c r="V114" s="117">
        <v>2.0916450673468871E-4</v>
      </c>
      <c r="W114" s="10" t="s">
        <v>1808</v>
      </c>
    </row>
    <row r="115" spans="2:23" ht="24.9" customHeight="1" x14ac:dyDescent="0.25">
      <c r="B115" s="24" t="s">
        <v>1353</v>
      </c>
      <c r="C115" s="18">
        <v>500</v>
      </c>
      <c r="D115" s="117" t="s">
        <v>1907</v>
      </c>
      <c r="E115" s="54" t="s">
        <v>1808</v>
      </c>
      <c r="F115" s="117">
        <v>4.1408904882015937E-8</v>
      </c>
      <c r="G115" s="54" t="s">
        <v>1808</v>
      </c>
      <c r="H115" s="117">
        <v>1.287931254355248E-6</v>
      </c>
      <c r="I115" s="54" t="s">
        <v>1808</v>
      </c>
      <c r="J115" s="117">
        <v>1.0600669985758049E-5</v>
      </c>
      <c r="K115" s="54" t="s">
        <v>1808</v>
      </c>
      <c r="L115" s="117">
        <v>1.7169021993341421E-8</v>
      </c>
      <c r="M115" s="54" t="s">
        <v>1808</v>
      </c>
      <c r="N115" s="117">
        <v>1.282728985574276E-8</v>
      </c>
      <c r="O115" s="54" t="s">
        <v>1807</v>
      </c>
      <c r="P115" s="117">
        <v>1.7893577157193014E-6</v>
      </c>
      <c r="Q115" s="54" t="s">
        <v>1808</v>
      </c>
      <c r="R115" s="117">
        <v>2.2186441608489039E-7</v>
      </c>
      <c r="S115" s="54" t="s">
        <v>1808</v>
      </c>
      <c r="T115" s="117">
        <v>1.6410599778064392E-7</v>
      </c>
      <c r="U115" s="54" t="s">
        <v>1808</v>
      </c>
      <c r="V115" s="117">
        <v>1.0056587771945496E-5</v>
      </c>
      <c r="W115" s="10" t="s">
        <v>1808</v>
      </c>
    </row>
    <row r="116" spans="2:23" ht="24.9" customHeight="1" x14ac:dyDescent="0.25">
      <c r="B116" s="24" t="s">
        <v>1354</v>
      </c>
      <c r="C116" s="17">
        <v>100</v>
      </c>
      <c r="D116" s="117">
        <v>2.8486375054187209E-7</v>
      </c>
      <c r="E116" s="54" t="s">
        <v>1808</v>
      </c>
      <c r="F116" s="117">
        <v>9.0550131645454919E-5</v>
      </c>
      <c r="G116" s="54" t="s">
        <v>1808</v>
      </c>
      <c r="H116" s="117">
        <v>3.302020786794959E-4</v>
      </c>
      <c r="I116" s="54" t="s">
        <v>1808</v>
      </c>
      <c r="J116" s="117">
        <v>1.2911624037247663E-3</v>
      </c>
      <c r="K116" s="54" t="s">
        <v>1808</v>
      </c>
      <c r="L116" s="117">
        <v>1.2858269404076286E-7</v>
      </c>
      <c r="M116" s="54" t="s">
        <v>1808</v>
      </c>
      <c r="N116" s="117">
        <v>8.3828045018970434E-8</v>
      </c>
      <c r="O116" s="54" t="s">
        <v>1808</v>
      </c>
      <c r="P116" s="117">
        <v>1.7696658582411338E-5</v>
      </c>
      <c r="Q116" s="54" t="s">
        <v>1808</v>
      </c>
      <c r="R116" s="117">
        <v>1.0089078662997937E-5</v>
      </c>
      <c r="S116" s="54" t="s">
        <v>1808</v>
      </c>
      <c r="T116" s="117">
        <v>5.2327672028180614E-6</v>
      </c>
      <c r="U116" s="54" t="s">
        <v>1808</v>
      </c>
      <c r="V116" s="117">
        <v>3.3349255188210486E-4</v>
      </c>
      <c r="W116" s="10" t="s">
        <v>1808</v>
      </c>
    </row>
    <row r="117" spans="2:23" ht="24.9" customHeight="1" x14ac:dyDescent="0.25">
      <c r="B117" s="24" t="s">
        <v>1355</v>
      </c>
      <c r="C117" s="18">
        <v>200</v>
      </c>
      <c r="D117" s="117">
        <v>7.8734459870861004E-7</v>
      </c>
      <c r="E117" s="54" t="s">
        <v>1808</v>
      </c>
      <c r="F117" s="117">
        <v>5.1400102438786677E-5</v>
      </c>
      <c r="G117" s="54" t="s">
        <v>1808</v>
      </c>
      <c r="H117" s="117">
        <v>3.6066841344351258E-4</v>
      </c>
      <c r="I117" s="54" t="s">
        <v>1808</v>
      </c>
      <c r="J117" s="117">
        <v>1.264578928339051E-3</v>
      </c>
      <c r="K117" s="54" t="s">
        <v>1808</v>
      </c>
      <c r="L117" s="117">
        <v>1.323651460292948E-7</v>
      </c>
      <c r="M117" s="54" t="s">
        <v>1808</v>
      </c>
      <c r="N117" s="117">
        <v>5.0534450880171496E-8</v>
      </c>
      <c r="O117" s="54" t="s">
        <v>1808</v>
      </c>
      <c r="P117" s="117">
        <v>8.804312028131483E-6</v>
      </c>
      <c r="Q117" s="54" t="s">
        <v>1808</v>
      </c>
      <c r="R117" s="117">
        <v>9.4511760746642785E-6</v>
      </c>
      <c r="S117" s="54" t="s">
        <v>1808</v>
      </c>
      <c r="T117" s="117">
        <v>2.3259366460756585E-6</v>
      </c>
      <c r="U117" s="54" t="s">
        <v>1808</v>
      </c>
      <c r="V117" s="117">
        <v>3.4537279961607944E-4</v>
      </c>
      <c r="W117" s="10" t="s">
        <v>1808</v>
      </c>
    </row>
    <row r="118" spans="2:23" ht="24.9" customHeight="1" x14ac:dyDescent="0.25">
      <c r="B118" s="24" t="s">
        <v>1355</v>
      </c>
      <c r="C118" s="18">
        <v>300</v>
      </c>
      <c r="D118" s="117">
        <v>1.9207813930576411E-6</v>
      </c>
      <c r="E118" s="54" t="s">
        <v>1807</v>
      </c>
      <c r="F118" s="117">
        <v>1.6472321854548382E-5</v>
      </c>
      <c r="G118" s="54" t="s">
        <v>1808</v>
      </c>
      <c r="H118" s="117">
        <v>2.2871721583277036E-4</v>
      </c>
      <c r="I118" s="54" t="s">
        <v>1808</v>
      </c>
      <c r="J118" s="117">
        <v>7.0061397859989404E-4</v>
      </c>
      <c r="K118" s="54" t="s">
        <v>1808</v>
      </c>
      <c r="L118" s="117">
        <v>1.2092958746797127E-7</v>
      </c>
      <c r="M118" s="54" t="s">
        <v>1808</v>
      </c>
      <c r="N118" s="117">
        <v>2.1749618999049487E-8</v>
      </c>
      <c r="O118" s="54" t="s">
        <v>1808</v>
      </c>
      <c r="P118" s="117">
        <v>2.6317961088202906E-6</v>
      </c>
      <c r="Q118" s="54" t="s">
        <v>1808</v>
      </c>
      <c r="R118" s="117">
        <v>8.2697087733834596E-6</v>
      </c>
      <c r="S118" s="54" t="s">
        <v>1808</v>
      </c>
      <c r="T118" s="117">
        <v>6.9185871411820953E-7</v>
      </c>
      <c r="U118" s="54" t="s">
        <v>1808</v>
      </c>
      <c r="V118" s="117">
        <v>7.1464186709323992E-5</v>
      </c>
      <c r="W118" s="10" t="s">
        <v>1808</v>
      </c>
    </row>
    <row r="119" spans="2:23" ht="24.9" customHeight="1" x14ac:dyDescent="0.25">
      <c r="B119" s="24" t="s">
        <v>1355</v>
      </c>
      <c r="C119" s="17">
        <v>400</v>
      </c>
      <c r="D119" s="117">
        <v>1.136371402069319E-7</v>
      </c>
      <c r="E119" s="54" t="s">
        <v>1807</v>
      </c>
      <c r="F119" s="117">
        <v>3.3440917513996337E-6</v>
      </c>
      <c r="G119" s="54" t="s">
        <v>1808</v>
      </c>
      <c r="H119" s="117">
        <v>1.1927926155278755E-5</v>
      </c>
      <c r="I119" s="54" t="s">
        <v>1808</v>
      </c>
      <c r="J119" s="117">
        <v>2.3635500391728617E-4</v>
      </c>
      <c r="K119" s="54" t="s">
        <v>1808</v>
      </c>
      <c r="L119" s="117">
        <v>6.2457466404347679E-8</v>
      </c>
      <c r="M119" s="54" t="s">
        <v>1808</v>
      </c>
      <c r="N119" s="117">
        <v>7.1374386659981111E-9</v>
      </c>
      <c r="O119" s="54" t="s">
        <v>1808</v>
      </c>
      <c r="P119" s="117">
        <v>3.2939611344956798E-7</v>
      </c>
      <c r="Q119" s="54" t="s">
        <v>1807</v>
      </c>
      <c r="R119" s="117">
        <v>3.6016293364494108E-6</v>
      </c>
      <c r="S119" s="54" t="s">
        <v>1808</v>
      </c>
      <c r="T119" s="117">
        <v>1.7655388187570226E-7</v>
      </c>
      <c r="U119" s="54" t="s">
        <v>1808</v>
      </c>
      <c r="V119" s="117">
        <v>2.6104972257304962E-5</v>
      </c>
      <c r="W119" s="10" t="s">
        <v>1808</v>
      </c>
    </row>
    <row r="120" spans="2:23" ht="24.9" customHeight="1" x14ac:dyDescent="0.25">
      <c r="B120" s="24" t="s">
        <v>1355</v>
      </c>
      <c r="C120" s="18">
        <v>500</v>
      </c>
      <c r="D120" s="117" t="s">
        <v>1907</v>
      </c>
      <c r="E120" s="54" t="s">
        <v>1808</v>
      </c>
      <c r="F120" s="117">
        <v>5.2025633485200219E-7</v>
      </c>
      <c r="G120" s="54" t="s">
        <v>1808</v>
      </c>
      <c r="H120" s="117">
        <v>1.3689691419366904E-6</v>
      </c>
      <c r="I120" s="54" t="s">
        <v>1808</v>
      </c>
      <c r="J120" s="117">
        <v>9.4276959938547661E-6</v>
      </c>
      <c r="K120" s="54" t="s">
        <v>1808</v>
      </c>
      <c r="L120" s="117">
        <v>2.2835078567155087E-8</v>
      </c>
      <c r="M120" s="54" t="s">
        <v>1808</v>
      </c>
      <c r="N120" s="117">
        <v>1.6427732151780372E-9</v>
      </c>
      <c r="O120" s="54" t="s">
        <v>1807</v>
      </c>
      <c r="P120" s="117" t="s">
        <v>1907</v>
      </c>
      <c r="Q120" s="54" t="s">
        <v>1807</v>
      </c>
      <c r="R120" s="117">
        <v>9.708992466955948E-7</v>
      </c>
      <c r="S120" s="54" t="s">
        <v>1808</v>
      </c>
      <c r="T120" s="117">
        <v>2.8955361009791227E-8</v>
      </c>
      <c r="U120" s="54" t="s">
        <v>1808</v>
      </c>
      <c r="V120" s="117">
        <v>6.3300839561479466E-6</v>
      </c>
      <c r="W120" s="10" t="s">
        <v>1808</v>
      </c>
    </row>
    <row r="121" spans="2:23" ht="24.9" customHeight="1" x14ac:dyDescent="0.25">
      <c r="B121" s="24" t="s">
        <v>1356</v>
      </c>
      <c r="C121" s="17">
        <v>100</v>
      </c>
      <c r="D121" s="117" t="s">
        <v>1907</v>
      </c>
      <c r="E121" s="54" t="s">
        <v>1908</v>
      </c>
      <c r="F121" s="117">
        <v>3.6138827096556912E-5</v>
      </c>
      <c r="G121" s="54" t="s">
        <v>1808</v>
      </c>
      <c r="H121" s="117">
        <v>4.0748716617703453E-4</v>
      </c>
      <c r="I121" s="54" t="s">
        <v>1808</v>
      </c>
      <c r="J121" s="117">
        <v>9.7933831126533789E-4</v>
      </c>
      <c r="K121" s="54" t="s">
        <v>1808</v>
      </c>
      <c r="L121" s="117">
        <v>1.4503370888543528E-7</v>
      </c>
      <c r="M121" s="54" t="s">
        <v>1808</v>
      </c>
      <c r="N121" s="117">
        <v>5.2750500012982335E-8</v>
      </c>
      <c r="O121" s="54" t="s">
        <v>1808</v>
      </c>
      <c r="P121" s="117">
        <v>1.0674170897240219E-5</v>
      </c>
      <c r="Q121" s="54" t="s">
        <v>1808</v>
      </c>
      <c r="R121" s="117">
        <v>3.3414073537038837E-6</v>
      </c>
      <c r="S121" s="54" t="s">
        <v>1808</v>
      </c>
      <c r="T121" s="117">
        <v>7.9710227546411469E-6</v>
      </c>
      <c r="U121" s="54" t="s">
        <v>1808</v>
      </c>
      <c r="V121" s="117">
        <v>2.0900849144882172E-4</v>
      </c>
      <c r="W121" s="10" t="s">
        <v>1808</v>
      </c>
    </row>
    <row r="122" spans="2:23" ht="24.9" customHeight="1" x14ac:dyDescent="0.25">
      <c r="B122" s="24" t="s">
        <v>1356</v>
      </c>
      <c r="C122" s="18">
        <v>200</v>
      </c>
      <c r="D122" s="117" t="s">
        <v>1907</v>
      </c>
      <c r="E122" s="54" t="s">
        <v>1807</v>
      </c>
      <c r="F122" s="117">
        <v>3.6316206299062268E-5</v>
      </c>
      <c r="G122" s="54" t="s">
        <v>1808</v>
      </c>
      <c r="H122" s="117">
        <v>2.7052566495096791E-4</v>
      </c>
      <c r="I122" s="54" t="s">
        <v>1808</v>
      </c>
      <c r="J122" s="117">
        <v>9.1496656575801836E-4</v>
      </c>
      <c r="K122" s="54" t="s">
        <v>1808</v>
      </c>
      <c r="L122" s="117">
        <v>1.5976147509525621E-7</v>
      </c>
      <c r="M122" s="54" t="s">
        <v>1808</v>
      </c>
      <c r="N122" s="117">
        <v>5.1881891863511645E-8</v>
      </c>
      <c r="O122" s="54" t="s">
        <v>1808</v>
      </c>
      <c r="P122" s="117">
        <v>1.167010090656243E-5</v>
      </c>
      <c r="Q122" s="54" t="s">
        <v>1808</v>
      </c>
      <c r="R122" s="117">
        <v>5.3846242397896266E-6</v>
      </c>
      <c r="S122" s="54" t="s">
        <v>1808</v>
      </c>
      <c r="T122" s="117">
        <v>7.4544009018050226E-6</v>
      </c>
      <c r="U122" s="54" t="s">
        <v>1808</v>
      </c>
      <c r="V122" s="117">
        <v>2.0421510494227345E-4</v>
      </c>
      <c r="W122" s="10" t="s">
        <v>1808</v>
      </c>
    </row>
    <row r="123" spans="2:23" ht="24.9" customHeight="1" x14ac:dyDescent="0.25">
      <c r="B123" s="24" t="s">
        <v>1356</v>
      </c>
      <c r="C123" s="18">
        <v>300</v>
      </c>
      <c r="D123" s="117">
        <v>1.6270256554956331E-6</v>
      </c>
      <c r="E123" s="54" t="s">
        <v>1908</v>
      </c>
      <c r="F123" s="117">
        <v>3.3897830617104961E-5</v>
      </c>
      <c r="G123" s="54" t="s">
        <v>1808</v>
      </c>
      <c r="H123" s="117">
        <v>2.1789314667810972E-4</v>
      </c>
      <c r="I123" s="54" t="s">
        <v>1808</v>
      </c>
      <c r="J123" s="117">
        <v>8.1265026730399995E-4</v>
      </c>
      <c r="K123" s="54" t="s">
        <v>1808</v>
      </c>
      <c r="L123" s="117">
        <v>1.4482123647061998E-7</v>
      </c>
      <c r="M123" s="54" t="s">
        <v>1808</v>
      </c>
      <c r="N123" s="117">
        <v>4.2895303209609429E-8</v>
      </c>
      <c r="O123" s="54" t="s">
        <v>1808</v>
      </c>
      <c r="P123" s="117">
        <v>1.0307343720418306E-5</v>
      </c>
      <c r="Q123" s="54" t="s">
        <v>1808</v>
      </c>
      <c r="R123" s="117">
        <v>3.6774607695643686E-6</v>
      </c>
      <c r="S123" s="54" t="s">
        <v>1808</v>
      </c>
      <c r="T123" s="117">
        <v>6.0620299006504207E-6</v>
      </c>
      <c r="U123" s="54" t="s">
        <v>1808</v>
      </c>
      <c r="V123" s="117">
        <v>1.8210120680425482E-4</v>
      </c>
      <c r="W123" s="10" t="s">
        <v>1808</v>
      </c>
    </row>
    <row r="124" spans="2:23" ht="24.9" customHeight="1" x14ac:dyDescent="0.25">
      <c r="B124" s="24" t="s">
        <v>1356</v>
      </c>
      <c r="C124" s="17">
        <v>400</v>
      </c>
      <c r="D124" s="117">
        <v>9.1720577060225816E-7</v>
      </c>
      <c r="E124" s="54" t="s">
        <v>1808</v>
      </c>
      <c r="F124" s="117">
        <v>1.810677530585084E-5</v>
      </c>
      <c r="G124" s="54" t="s">
        <v>1808</v>
      </c>
      <c r="H124" s="117">
        <v>1.2763777838608855E-4</v>
      </c>
      <c r="I124" s="54" t="s">
        <v>1808</v>
      </c>
      <c r="J124" s="117">
        <v>4.0896517977990896E-4</v>
      </c>
      <c r="K124" s="54" t="s">
        <v>1808</v>
      </c>
      <c r="L124" s="117">
        <v>1.4800911826047302E-7</v>
      </c>
      <c r="M124" s="54" t="s">
        <v>1808</v>
      </c>
      <c r="N124" s="117">
        <v>2.2381921042974769E-8</v>
      </c>
      <c r="O124" s="54" t="s">
        <v>1808</v>
      </c>
      <c r="P124" s="117">
        <v>5.0448470524794651E-6</v>
      </c>
      <c r="Q124" s="54" t="s">
        <v>1807</v>
      </c>
      <c r="R124" s="117">
        <v>2.4971276561048048E-6</v>
      </c>
      <c r="S124" s="54" t="s">
        <v>1808</v>
      </c>
      <c r="T124" s="117">
        <v>2.7175330973914198E-6</v>
      </c>
      <c r="U124" s="54" t="s">
        <v>1808</v>
      </c>
      <c r="V124" s="117">
        <v>9.3197569772897749E-5</v>
      </c>
      <c r="W124" s="10" t="s">
        <v>1808</v>
      </c>
    </row>
    <row r="125" spans="2:23" ht="24.9" customHeight="1" x14ac:dyDescent="0.25">
      <c r="B125" s="24" t="s">
        <v>1357</v>
      </c>
      <c r="C125" s="18">
        <v>500</v>
      </c>
      <c r="D125" s="117" t="s">
        <v>1907</v>
      </c>
      <c r="E125" s="54" t="s">
        <v>1808</v>
      </c>
      <c r="F125" s="117">
        <v>4.853274594959727E-6</v>
      </c>
      <c r="G125" s="54" t="s">
        <v>1808</v>
      </c>
      <c r="H125" s="117">
        <v>2.6246281786319904E-5</v>
      </c>
      <c r="I125" s="54" t="s">
        <v>1808</v>
      </c>
      <c r="J125" s="117">
        <v>5.9599500396781238E-5</v>
      </c>
      <c r="K125" s="54" t="s">
        <v>1808</v>
      </c>
      <c r="L125" s="117">
        <v>4.2816725726367314E-8</v>
      </c>
      <c r="M125" s="54" t="s">
        <v>1808</v>
      </c>
      <c r="N125" s="117">
        <v>4.3283957175887404E-9</v>
      </c>
      <c r="O125" s="54" t="s">
        <v>1808</v>
      </c>
      <c r="P125" s="117">
        <v>1.378013873550855E-6</v>
      </c>
      <c r="Q125" s="54" t="s">
        <v>1808</v>
      </c>
      <c r="R125" s="117">
        <v>7.8525414608312276E-7</v>
      </c>
      <c r="S125" s="54" t="s">
        <v>1808</v>
      </c>
      <c r="T125" s="117">
        <v>6.9388067427661208E-7</v>
      </c>
      <c r="U125" s="54" t="s">
        <v>1808</v>
      </c>
      <c r="V125" s="117">
        <v>2.7102087411996375E-5</v>
      </c>
      <c r="W125" s="10" t="s">
        <v>1808</v>
      </c>
    </row>
    <row r="126" spans="2:23" s="10" customFormat="1" ht="24.9" customHeight="1" x14ac:dyDescent="0.3">
      <c r="B126" s="24" t="s">
        <v>1358</v>
      </c>
      <c r="C126" s="17">
        <v>100</v>
      </c>
      <c r="D126" s="117">
        <v>4.6534642429881577E-7</v>
      </c>
      <c r="E126" s="54" t="s">
        <v>1908</v>
      </c>
      <c r="F126" s="117">
        <v>6.82712323489001E-5</v>
      </c>
      <c r="G126" s="54" t="s">
        <v>1808</v>
      </c>
      <c r="H126" s="117">
        <v>6.6977472710575911E-4</v>
      </c>
      <c r="I126" s="54" t="s">
        <v>1808</v>
      </c>
      <c r="J126" s="117">
        <v>1.7275485091103856E-3</v>
      </c>
      <c r="K126" s="54" t="s">
        <v>1808</v>
      </c>
      <c r="L126" s="117">
        <v>1.6119653521653536E-7</v>
      </c>
      <c r="M126" s="54" t="s">
        <v>1808</v>
      </c>
      <c r="N126" s="117">
        <v>2.8724424245381321E-7</v>
      </c>
      <c r="O126" s="54" t="s">
        <v>1808</v>
      </c>
      <c r="P126" s="117">
        <v>4.3806612164737528E-5</v>
      </c>
      <c r="Q126" s="54" t="s">
        <v>1808</v>
      </c>
      <c r="R126" s="117">
        <v>4.6909787882195325E-6</v>
      </c>
      <c r="S126" s="54" t="s">
        <v>1808</v>
      </c>
      <c r="T126" s="117">
        <v>9.0345226542815875E-6</v>
      </c>
      <c r="U126" s="54" t="s">
        <v>1808</v>
      </c>
      <c r="V126" s="117">
        <v>1.1069321969174174E-3</v>
      </c>
      <c r="W126" s="10" t="s">
        <v>1808</v>
      </c>
    </row>
    <row r="127" spans="2:23" ht="24.9" customHeight="1" x14ac:dyDescent="0.25">
      <c r="B127" s="10" t="s">
        <v>1358</v>
      </c>
      <c r="C127" s="18">
        <v>200</v>
      </c>
      <c r="D127" s="117">
        <v>8.673034268262096E-8</v>
      </c>
      <c r="E127" s="54" t="s">
        <v>1908</v>
      </c>
      <c r="F127" s="117">
        <v>8.2642951246971898E-6</v>
      </c>
      <c r="G127" s="54" t="s">
        <v>1808</v>
      </c>
      <c r="H127" s="117">
        <v>1.1475195933605062E-4</v>
      </c>
      <c r="I127" s="54" t="s">
        <v>1808</v>
      </c>
      <c r="J127" s="117">
        <v>1.1217942490655299E-3</v>
      </c>
      <c r="K127" s="54" t="s">
        <v>1808</v>
      </c>
      <c r="L127" s="117">
        <v>1.3476658211848172E-7</v>
      </c>
      <c r="M127" s="54" t="s">
        <v>1808</v>
      </c>
      <c r="N127" s="117">
        <v>5.9727375544573273E-7</v>
      </c>
      <c r="O127" s="54" t="s">
        <v>1808</v>
      </c>
      <c r="P127" s="117">
        <v>1.8740835904613953E-5</v>
      </c>
      <c r="Q127" s="54" t="s">
        <v>1808</v>
      </c>
      <c r="R127" s="117">
        <v>3.959167527711648E-6</v>
      </c>
      <c r="S127" s="54" t="s">
        <v>1808</v>
      </c>
      <c r="T127" s="117">
        <v>1.8656601380703417E-5</v>
      </c>
      <c r="U127" s="54" t="s">
        <v>1808</v>
      </c>
      <c r="V127" s="117">
        <v>6.3758610895548633E-4</v>
      </c>
      <c r="W127" s="10" t="s">
        <v>1808</v>
      </c>
    </row>
    <row r="128" spans="2:23" ht="24.9" customHeight="1" x14ac:dyDescent="0.25">
      <c r="B128" s="10" t="s">
        <v>1359</v>
      </c>
      <c r="C128" s="18">
        <v>300</v>
      </c>
      <c r="D128" s="117">
        <v>9.4923071653888645E-8</v>
      </c>
      <c r="E128" s="54" t="s">
        <v>1908</v>
      </c>
      <c r="F128" s="117">
        <v>5.8124680165216053E-6</v>
      </c>
      <c r="G128" s="54" t="s">
        <v>1808</v>
      </c>
      <c r="H128" s="117">
        <v>4.0758186931418111E-5</v>
      </c>
      <c r="I128" s="54" t="s">
        <v>1808</v>
      </c>
      <c r="J128" s="117">
        <v>6.2000449596560274E-4</v>
      </c>
      <c r="K128" s="54" t="s">
        <v>1808</v>
      </c>
      <c r="L128" s="117">
        <v>1.0728993275556584E-7</v>
      </c>
      <c r="M128" s="54" t="s">
        <v>1808</v>
      </c>
      <c r="N128" s="117">
        <v>3.474764829352971E-7</v>
      </c>
      <c r="O128" s="54" t="s">
        <v>1808</v>
      </c>
      <c r="P128" s="117">
        <v>1.3451228484813072E-5</v>
      </c>
      <c r="Q128" s="54" t="s">
        <v>1808</v>
      </c>
      <c r="R128" s="117">
        <v>2.4759114875491913E-6</v>
      </c>
      <c r="S128" s="54" t="s">
        <v>1808</v>
      </c>
      <c r="T128" s="117">
        <v>7.4581433957529104E-6</v>
      </c>
      <c r="U128" s="54" t="s">
        <v>1808</v>
      </c>
      <c r="V128" s="117">
        <v>3.036954941862917E-4</v>
      </c>
      <c r="W128" s="10" t="s">
        <v>1808</v>
      </c>
    </row>
    <row r="129" spans="1:23" ht="24.9" customHeight="1" x14ac:dyDescent="0.25">
      <c r="B129" s="10" t="s">
        <v>1358</v>
      </c>
      <c r="C129" s="17">
        <v>400</v>
      </c>
      <c r="D129" s="117">
        <v>4.2842203419831766E-7</v>
      </c>
      <c r="E129" s="54" t="s">
        <v>1807</v>
      </c>
      <c r="F129" s="117">
        <v>1.7982576203898188E-6</v>
      </c>
      <c r="G129" s="54" t="s">
        <v>1808</v>
      </c>
      <c r="H129" s="117">
        <v>2.1514359713396738E-5</v>
      </c>
      <c r="I129" s="54" t="s">
        <v>1808</v>
      </c>
      <c r="J129" s="117">
        <v>3.4624813443583704E-4</v>
      </c>
      <c r="K129" s="54" t="s">
        <v>1808</v>
      </c>
      <c r="L129" s="117">
        <v>6.3753465404699764E-8</v>
      </c>
      <c r="M129" s="54" t="s">
        <v>1808</v>
      </c>
      <c r="N129" s="117">
        <v>2.5574343039969721E-7</v>
      </c>
      <c r="O129" s="54" t="s">
        <v>1808</v>
      </c>
      <c r="P129" s="117">
        <v>1.0018731011442955E-5</v>
      </c>
      <c r="Q129" s="54" t="s">
        <v>1808</v>
      </c>
      <c r="R129" s="117">
        <v>1.7884692414019673E-6</v>
      </c>
      <c r="S129" s="54" t="s">
        <v>1808</v>
      </c>
      <c r="T129" s="117">
        <v>3.4210160714142672E-6</v>
      </c>
      <c r="U129" s="54" t="s">
        <v>1808</v>
      </c>
      <c r="V129" s="117">
        <v>2.9142352614753409E-4</v>
      </c>
      <c r="W129" s="10" t="s">
        <v>1808</v>
      </c>
    </row>
    <row r="130" spans="1:23" ht="24.9" customHeight="1" x14ac:dyDescent="0.25">
      <c r="B130" s="10" t="s">
        <v>1358</v>
      </c>
      <c r="C130" s="18">
        <v>500</v>
      </c>
      <c r="D130" s="117" t="s">
        <v>1907</v>
      </c>
      <c r="E130" s="54" t="s">
        <v>1808</v>
      </c>
      <c r="F130" s="117">
        <v>8.3378050830302157E-7</v>
      </c>
      <c r="G130" s="54" t="s">
        <v>1808</v>
      </c>
      <c r="H130" s="117">
        <v>2.0652097096905614E-5</v>
      </c>
      <c r="I130" s="54" t="s">
        <v>1808</v>
      </c>
      <c r="J130" s="117">
        <v>3.9416325694076462E-5</v>
      </c>
      <c r="K130" s="54" t="s">
        <v>1808</v>
      </c>
      <c r="L130" s="117">
        <v>1.1668198369178315E-8</v>
      </c>
      <c r="M130" s="54" t="s">
        <v>1808</v>
      </c>
      <c r="N130" s="117">
        <v>6.1223645508235626E-8</v>
      </c>
      <c r="O130" s="54" t="s">
        <v>1808</v>
      </c>
      <c r="P130" s="117">
        <v>1.2340479113186578E-6</v>
      </c>
      <c r="Q130" s="54" t="s">
        <v>1808</v>
      </c>
      <c r="R130" s="117">
        <v>5.9048061569118035E-7</v>
      </c>
      <c r="S130" s="54" t="s">
        <v>1808</v>
      </c>
      <c r="T130" s="117">
        <v>1.038426258778871E-6</v>
      </c>
      <c r="U130" s="54" t="s">
        <v>1808</v>
      </c>
      <c r="V130" s="117">
        <v>9.0183736634243756E-5</v>
      </c>
      <c r="W130" s="10" t="s">
        <v>1808</v>
      </c>
    </row>
    <row r="131" spans="1:23" ht="24.9" customHeight="1" x14ac:dyDescent="0.25">
      <c r="B131" s="10" t="s">
        <v>1360</v>
      </c>
      <c r="C131" s="17">
        <v>100</v>
      </c>
      <c r="D131" s="117" t="s">
        <v>1907</v>
      </c>
      <c r="E131" s="54" t="s">
        <v>1808</v>
      </c>
      <c r="F131" s="117">
        <v>3.2818362539393007E-5</v>
      </c>
      <c r="G131" s="54" t="s">
        <v>1808</v>
      </c>
      <c r="H131" s="117">
        <v>5.4592698755926013E-4</v>
      </c>
      <c r="I131" s="54" t="s">
        <v>1808</v>
      </c>
      <c r="J131" s="117">
        <v>1.1661276941384881E-3</v>
      </c>
      <c r="K131" s="54" t="s">
        <v>1808</v>
      </c>
      <c r="L131" s="117">
        <v>1.7237311990256359E-7</v>
      </c>
      <c r="M131" s="54" t="s">
        <v>1808</v>
      </c>
      <c r="N131" s="117">
        <v>4.1509340889151744E-7</v>
      </c>
      <c r="O131" s="54" t="s">
        <v>1808</v>
      </c>
      <c r="P131" s="117">
        <v>1.6653142209882665E-5</v>
      </c>
      <c r="Q131" s="54" t="s">
        <v>1808</v>
      </c>
      <c r="R131" s="117">
        <v>4.0872233333462131E-6</v>
      </c>
      <c r="S131" s="54" t="s">
        <v>1808</v>
      </c>
      <c r="T131" s="117">
        <v>8.003250627769309E-6</v>
      </c>
      <c r="U131" s="54" t="s">
        <v>1808</v>
      </c>
      <c r="V131" s="117">
        <v>4.5621633391513281E-4</v>
      </c>
      <c r="W131" s="10" t="s">
        <v>1808</v>
      </c>
    </row>
    <row r="132" spans="1:23" ht="24.9" customHeight="1" x14ac:dyDescent="0.25">
      <c r="B132" s="10" t="s">
        <v>1360</v>
      </c>
      <c r="C132" s="18">
        <v>200</v>
      </c>
      <c r="D132" s="117" t="s">
        <v>1907</v>
      </c>
      <c r="E132" s="54" t="s">
        <v>1808</v>
      </c>
      <c r="F132" s="117">
        <v>6.8909154314712164E-6</v>
      </c>
      <c r="G132" s="54" t="s">
        <v>1808</v>
      </c>
      <c r="H132" s="117">
        <v>1.3107418909710379E-4</v>
      </c>
      <c r="I132" s="54" t="s">
        <v>1808</v>
      </c>
      <c r="J132" s="117">
        <v>2.1971486375311792E-3</v>
      </c>
      <c r="K132" s="54" t="s">
        <v>1808</v>
      </c>
      <c r="L132" s="117">
        <v>1.9122078733462419E-7</v>
      </c>
      <c r="M132" s="54" t="s">
        <v>1808</v>
      </c>
      <c r="N132" s="117">
        <v>7.7563728231188628E-7</v>
      </c>
      <c r="O132" s="54" t="s">
        <v>1808</v>
      </c>
      <c r="P132" s="117">
        <v>1.672934634246458E-5</v>
      </c>
      <c r="Q132" s="54" t="s">
        <v>1808</v>
      </c>
      <c r="R132" s="117">
        <v>4.1504279754954732E-6</v>
      </c>
      <c r="S132" s="54" t="s">
        <v>1808</v>
      </c>
      <c r="T132" s="117">
        <v>1.3295272170270925E-5</v>
      </c>
      <c r="U132" s="54" t="s">
        <v>1808</v>
      </c>
      <c r="V132" s="117">
        <v>1.0725904875111812E-3</v>
      </c>
      <c r="W132" s="10" t="s">
        <v>1808</v>
      </c>
    </row>
    <row r="133" spans="1:23" ht="24.9" customHeight="1" x14ac:dyDescent="0.25">
      <c r="B133" s="10" t="s">
        <v>1361</v>
      </c>
      <c r="C133" s="18">
        <v>300</v>
      </c>
      <c r="D133" s="117" t="s">
        <v>1907</v>
      </c>
      <c r="E133" s="54" t="s">
        <v>1808</v>
      </c>
      <c r="F133" s="117">
        <v>3.6258019907972692E-6</v>
      </c>
      <c r="G133" s="54" t="s">
        <v>1808</v>
      </c>
      <c r="H133" s="117">
        <v>6.6415385845318675E-5</v>
      </c>
      <c r="I133" s="54" t="s">
        <v>1808</v>
      </c>
      <c r="J133" s="117">
        <v>1.0081802993682683E-3</v>
      </c>
      <c r="K133" s="54" t="s">
        <v>1808</v>
      </c>
      <c r="L133" s="117">
        <v>1.3861537772699193E-7</v>
      </c>
      <c r="M133" s="54" t="s">
        <v>1808</v>
      </c>
      <c r="N133" s="117">
        <v>3.6204033034932079E-7</v>
      </c>
      <c r="O133" s="54" t="s">
        <v>1808</v>
      </c>
      <c r="P133" s="117">
        <v>9.8494094857865062E-6</v>
      </c>
      <c r="Q133" s="54" t="s">
        <v>1808</v>
      </c>
      <c r="R133" s="117">
        <v>2.3907814651657225E-6</v>
      </c>
      <c r="S133" s="54" t="s">
        <v>1808</v>
      </c>
      <c r="T133" s="117">
        <v>6.0993391852531057E-6</v>
      </c>
      <c r="U133" s="54" t="s">
        <v>1808</v>
      </c>
      <c r="V133" s="117">
        <v>6.8400284753433553E-4</v>
      </c>
      <c r="W133" s="10" t="s">
        <v>1808</v>
      </c>
    </row>
    <row r="134" spans="1:23" ht="24.9" customHeight="1" x14ac:dyDescent="0.25">
      <c r="B134" s="13" t="s">
        <v>1361</v>
      </c>
      <c r="C134" s="47">
        <v>400</v>
      </c>
      <c r="D134" s="118" t="s">
        <v>1907</v>
      </c>
      <c r="E134" s="59" t="s">
        <v>1808</v>
      </c>
      <c r="F134" s="118">
        <v>1.9256828961301647E-6</v>
      </c>
      <c r="G134" s="59" t="s">
        <v>1808</v>
      </c>
      <c r="H134" s="118">
        <v>4.711760540148456E-6</v>
      </c>
      <c r="I134" s="59" t="s">
        <v>1808</v>
      </c>
      <c r="J134" s="118">
        <v>3.1618828105412992E-5</v>
      </c>
      <c r="K134" s="59" t="s">
        <v>1808</v>
      </c>
      <c r="L134" s="118">
        <v>2.2920738842132914E-8</v>
      </c>
      <c r="M134" s="59" t="s">
        <v>1808</v>
      </c>
      <c r="N134" s="118">
        <v>3.2422050343423414E-8</v>
      </c>
      <c r="O134" s="59" t="s">
        <v>1808</v>
      </c>
      <c r="P134" s="118">
        <v>1.1042741381087551E-7</v>
      </c>
      <c r="Q134" s="59" t="s">
        <v>1908</v>
      </c>
      <c r="R134" s="118">
        <v>3.3500977810649361E-7</v>
      </c>
      <c r="S134" s="59" t="s">
        <v>1808</v>
      </c>
      <c r="T134" s="118">
        <v>2.2644318769163912E-7</v>
      </c>
      <c r="U134" s="59" t="s">
        <v>1808</v>
      </c>
      <c r="V134" s="118">
        <v>2.2336471786534479E-5</v>
      </c>
      <c r="W134" s="13" t="s">
        <v>1808</v>
      </c>
    </row>
    <row r="135" spans="1:23" s="10" customFormat="1" ht="24.9" customHeight="1" x14ac:dyDescent="0.3">
      <c r="A135" s="11"/>
      <c r="C135" s="17" t="s">
        <v>566</v>
      </c>
      <c r="D135" s="101">
        <v>5.3882173046448929E-8</v>
      </c>
      <c r="E135" s="54"/>
      <c r="F135" s="101">
        <v>4.1408904882015937E-8</v>
      </c>
      <c r="G135" s="54"/>
      <c r="H135" s="101">
        <v>3.7487925755205441E-8</v>
      </c>
      <c r="I135" s="54"/>
      <c r="J135" s="101">
        <v>6.3491193928191327E-7</v>
      </c>
      <c r="K135" s="54"/>
      <c r="L135" s="101">
        <v>1.1668198369178315E-8</v>
      </c>
      <c r="M135" s="54"/>
      <c r="N135" s="101">
        <v>8.0200090459483106E-11</v>
      </c>
      <c r="O135" s="54"/>
      <c r="P135" s="101">
        <v>4.6441432967133978E-8</v>
      </c>
      <c r="Q135" s="54"/>
      <c r="R135" s="101">
        <v>1.0335376226037107E-8</v>
      </c>
      <c r="S135" s="54"/>
      <c r="T135" s="101">
        <v>7.3517395418393716E-11</v>
      </c>
      <c r="U135" s="54"/>
      <c r="V135" s="101">
        <v>2.9010592068230909E-8</v>
      </c>
    </row>
    <row r="136" spans="1:23" s="10" customFormat="1" ht="24.9" customHeight="1" x14ac:dyDescent="0.3">
      <c r="A136" s="11"/>
      <c r="C136" s="17" t="s">
        <v>565</v>
      </c>
      <c r="D136" s="101">
        <v>1.6571388701758008E-4</v>
      </c>
      <c r="E136" s="54"/>
      <c r="F136" s="101">
        <v>4.087826796153043E-4</v>
      </c>
      <c r="G136" s="54"/>
      <c r="H136" s="101">
        <v>9.7529329705055496E-4</v>
      </c>
      <c r="I136" s="54"/>
      <c r="J136" s="101">
        <v>2.784527251431248E-3</v>
      </c>
      <c r="K136" s="54"/>
      <c r="L136" s="101">
        <v>4.1666003246460513E-7</v>
      </c>
      <c r="M136" s="54"/>
      <c r="N136" s="101">
        <v>7.7563728231188628E-7</v>
      </c>
      <c r="O136" s="54"/>
      <c r="P136" s="101">
        <v>4.3806612164737528E-5</v>
      </c>
      <c r="Q136" s="54"/>
      <c r="R136" s="101">
        <v>8.2951816894685535E-5</v>
      </c>
      <c r="S136" s="54"/>
      <c r="T136" s="101">
        <v>1.8656601380703417E-5</v>
      </c>
      <c r="U136" s="54"/>
      <c r="V136" s="101">
        <v>1.1069321969174174E-3</v>
      </c>
    </row>
    <row r="137" spans="1:23" s="10" customFormat="1" ht="24.9" customHeight="1" x14ac:dyDescent="0.3">
      <c r="A137" s="11"/>
      <c r="B137" s="10" t="s">
        <v>692</v>
      </c>
      <c r="C137" s="17" t="s">
        <v>493</v>
      </c>
      <c r="D137" s="101">
        <v>3.7178540055626403E-6</v>
      </c>
      <c r="E137" s="54"/>
      <c r="F137" s="101">
        <v>1.4628710692955449E-5</v>
      </c>
      <c r="G137" s="54"/>
      <c r="H137" s="101">
        <v>1.1865160799541186E-6</v>
      </c>
      <c r="I137" s="54"/>
      <c r="J137" s="101">
        <v>8.1618803395656076E-6</v>
      </c>
      <c r="K137" s="54"/>
      <c r="L137" s="101">
        <v>9.210083763816381E-8</v>
      </c>
      <c r="M137" s="54"/>
      <c r="N137" s="101">
        <v>5.8948155543683879E-9</v>
      </c>
      <c r="O137" s="54"/>
      <c r="P137" s="101">
        <v>7.3010301900574378E-7</v>
      </c>
      <c r="Q137" s="54"/>
      <c r="R137" s="101">
        <v>2.4759114875491913E-6</v>
      </c>
      <c r="S137" s="54"/>
      <c r="T137" s="101">
        <v>4.39097978133622E-9</v>
      </c>
      <c r="U137" s="54"/>
      <c r="V137" s="101">
        <v>6.624063262912927E-7</v>
      </c>
    </row>
    <row r="138" spans="1:23" s="10" customFormat="1" ht="24.9" customHeight="1" x14ac:dyDescent="0.3">
      <c r="A138" s="11"/>
      <c r="C138" s="17" t="s">
        <v>838</v>
      </c>
      <c r="D138" s="101">
        <v>1.2283051438303518E-6</v>
      </c>
      <c r="E138" s="54"/>
      <c r="F138" s="101">
        <v>4.975986780322674E-6</v>
      </c>
      <c r="G138" s="54"/>
      <c r="H138" s="101">
        <v>4.3418651630321981E-7</v>
      </c>
      <c r="I138" s="54"/>
      <c r="J138" s="101">
        <v>3.6097708522947186E-6</v>
      </c>
      <c r="K138" s="54"/>
      <c r="L138" s="101">
        <v>6.1534384188159069E-8</v>
      </c>
      <c r="M138" s="54"/>
      <c r="N138" s="101">
        <v>1.6731619030252022E-9</v>
      </c>
      <c r="O138" s="54"/>
      <c r="P138" s="101">
        <v>2.6025806005083048E-7</v>
      </c>
      <c r="Q138" s="54"/>
      <c r="R138" s="101">
        <v>6.2676337934901885E-8</v>
      </c>
      <c r="S138" s="54"/>
      <c r="T138" s="101">
        <v>2.3357844399747333E-9</v>
      </c>
      <c r="U138" s="54"/>
      <c r="V138" s="101">
        <v>2.3726823575612409E-7</v>
      </c>
    </row>
    <row r="139" spans="1:23" s="10" customFormat="1" ht="24.9" customHeight="1" x14ac:dyDescent="0.3">
      <c r="A139" s="11"/>
      <c r="C139" s="17" t="s">
        <v>839</v>
      </c>
      <c r="D139" s="101">
        <v>8.1933305707816866E-6</v>
      </c>
      <c r="E139" s="54"/>
      <c r="F139" s="101">
        <v>3.8160732919583186E-5</v>
      </c>
      <c r="G139" s="54"/>
      <c r="H139" s="101">
        <v>1.3172727465860322E-5</v>
      </c>
      <c r="I139" s="54"/>
      <c r="J139" s="101">
        <v>5.4795947262251711E-5</v>
      </c>
      <c r="K139" s="54"/>
      <c r="L139" s="101">
        <v>1.5378083017538181E-7</v>
      </c>
      <c r="M139" s="54"/>
      <c r="N139" s="101">
        <v>2.6841061677299388E-8</v>
      </c>
      <c r="O139" s="54"/>
      <c r="P139" s="101">
        <v>2.3177998137380293E-6</v>
      </c>
      <c r="Q139" s="54"/>
      <c r="R139" s="101">
        <v>1.0089078662997937E-5</v>
      </c>
      <c r="S139" s="54"/>
      <c r="T139" s="101">
        <v>5.6031280138888155E-8</v>
      </c>
      <c r="U139" s="54"/>
      <c r="V139" s="101">
        <v>2.2336471786534479E-5</v>
      </c>
    </row>
    <row r="140" spans="1:23" s="10" customFormat="1" ht="24.9" customHeight="1" x14ac:dyDescent="0.3">
      <c r="C140" s="11" t="s">
        <v>494</v>
      </c>
      <c r="D140" s="101">
        <v>9.2379632640893053E-6</v>
      </c>
      <c r="E140" s="54"/>
      <c r="F140" s="101">
        <v>4.129056049421964E-5</v>
      </c>
      <c r="G140" s="54"/>
      <c r="H140" s="101">
        <v>5.6906317494228384E-5</v>
      </c>
      <c r="I140" s="54"/>
      <c r="J140" s="101">
        <v>1.9041054595718573E-4</v>
      </c>
      <c r="K140" s="54"/>
      <c r="L140" s="101">
        <v>1.2106592629066317E-7</v>
      </c>
      <c r="M140" s="54"/>
      <c r="N140" s="101">
        <v>4.826967809169232E-8</v>
      </c>
      <c r="O140" s="54"/>
      <c r="P140" s="101">
        <v>3.5606328815458666E-6</v>
      </c>
      <c r="Q140" s="54"/>
      <c r="R140" s="101">
        <v>7.8013700495424277E-6</v>
      </c>
      <c r="S140" s="54"/>
      <c r="T140" s="101">
        <v>1.0793750972737104E-6</v>
      </c>
      <c r="U140" s="54"/>
      <c r="V140" s="101">
        <v>7.9603551210210427E-5</v>
      </c>
    </row>
    <row r="141" spans="1:23" s="10" customFormat="1" ht="24.9" customHeight="1" x14ac:dyDescent="0.3">
      <c r="B141" s="13"/>
      <c r="C141" s="14" t="s">
        <v>501</v>
      </c>
      <c r="D141" s="102">
        <v>1.8934651519271403E-5</v>
      </c>
      <c r="E141" s="59"/>
      <c r="F141" s="102">
        <v>7.5712340350503094E-5</v>
      </c>
      <c r="G141" s="59"/>
      <c r="H141" s="102">
        <v>1.5332716152002552E-4</v>
      </c>
      <c r="I141" s="59"/>
      <c r="J141" s="102">
        <v>4.5825274626776316E-4</v>
      </c>
      <c r="K141" s="59"/>
      <c r="L141" s="102">
        <v>8.7500019102525423E-8</v>
      </c>
      <c r="M141" s="59"/>
      <c r="N141" s="102">
        <v>1.1903226584494654E-7</v>
      </c>
      <c r="O141" s="59"/>
      <c r="P141" s="102">
        <v>7.2198988572785253E-6</v>
      </c>
      <c r="Q141" s="59"/>
      <c r="R141" s="102">
        <v>1.2848900271256911E-5</v>
      </c>
      <c r="S141" s="59"/>
      <c r="T141" s="102">
        <v>2.8772175872910783E-6</v>
      </c>
      <c r="U141" s="59"/>
      <c r="V141" s="102">
        <v>2.0323377495233842E-4</v>
      </c>
      <c r="W141" s="13"/>
    </row>
    <row r="142" spans="1:23" ht="24.9" customHeight="1" x14ac:dyDescent="0.25">
      <c r="B142" s="36" t="s">
        <v>516</v>
      </c>
      <c r="C142" s="33">
        <v>100</v>
      </c>
      <c r="D142" s="101">
        <v>2.9719204107313459E-7</v>
      </c>
      <c r="E142" s="54" t="s">
        <v>1908</v>
      </c>
      <c r="F142" s="101">
        <v>7.6525614109864408E-6</v>
      </c>
      <c r="G142" s="11" t="s">
        <v>1808</v>
      </c>
      <c r="H142" s="101">
        <v>5.9256892270652328E-7</v>
      </c>
      <c r="I142" s="54" t="s">
        <v>1807</v>
      </c>
      <c r="J142" s="101">
        <v>6.9625653480096902E-6</v>
      </c>
      <c r="K142" s="54" t="s">
        <v>1807</v>
      </c>
      <c r="L142" s="101">
        <v>8.0668816489989753E-8</v>
      </c>
      <c r="M142" s="11" t="s">
        <v>1808</v>
      </c>
      <c r="N142" s="101">
        <v>6.9359567895805513E-10</v>
      </c>
      <c r="O142" s="54" t="s">
        <v>1908</v>
      </c>
      <c r="P142" s="101">
        <v>3.7995407371011427E-7</v>
      </c>
      <c r="Q142" s="54" t="s">
        <v>1908</v>
      </c>
      <c r="R142" s="101">
        <v>1.552806642671887E-8</v>
      </c>
      <c r="S142" s="54" t="s">
        <v>1908</v>
      </c>
      <c r="T142" s="101">
        <v>8.6974774108612101E-10</v>
      </c>
      <c r="U142" s="54" t="s">
        <v>1908</v>
      </c>
      <c r="V142" s="101">
        <v>3.6866695005389774E-7</v>
      </c>
      <c r="W142" s="54" t="s">
        <v>1908</v>
      </c>
    </row>
    <row r="143" spans="1:23" ht="24.9" customHeight="1" x14ac:dyDescent="0.25">
      <c r="B143" s="36" t="s">
        <v>516</v>
      </c>
      <c r="C143" s="33">
        <v>200</v>
      </c>
      <c r="D143" s="101">
        <v>2.0007980186349649E-6</v>
      </c>
      <c r="E143" s="54" t="s">
        <v>1807</v>
      </c>
      <c r="F143" s="101">
        <v>1.4052221345489055E-5</v>
      </c>
      <c r="G143" s="11" t="s">
        <v>1808</v>
      </c>
      <c r="H143" s="101">
        <v>1.3921687723196545E-7</v>
      </c>
      <c r="I143" s="54" t="s">
        <v>1807</v>
      </c>
      <c r="J143" s="101">
        <v>1.360531474305218E-5</v>
      </c>
      <c r="K143" s="11" t="s">
        <v>1808</v>
      </c>
      <c r="L143" s="101">
        <v>9.2662009914704122E-8</v>
      </c>
      <c r="M143" s="11" t="s">
        <v>1808</v>
      </c>
      <c r="N143" s="101">
        <v>8.4902121066583689E-9</v>
      </c>
      <c r="O143" s="54" t="s">
        <v>1807</v>
      </c>
      <c r="P143" s="101">
        <v>2.1831283622272696E-7</v>
      </c>
      <c r="Q143" s="54" t="s">
        <v>1908</v>
      </c>
      <c r="R143" s="101">
        <v>2.801729618075027E-8</v>
      </c>
      <c r="S143" s="54" t="s">
        <v>1908</v>
      </c>
      <c r="T143" s="101">
        <v>6.1748994707085439E-10</v>
      </c>
      <c r="U143" s="54" t="s">
        <v>1908</v>
      </c>
      <c r="V143" s="101">
        <v>7.8693793212359849E-8</v>
      </c>
      <c r="W143" s="54" t="s">
        <v>1908</v>
      </c>
    </row>
    <row r="144" spans="1:23" ht="24.9" customHeight="1" x14ac:dyDescent="0.25">
      <c r="B144" s="36" t="s">
        <v>516</v>
      </c>
      <c r="C144" s="33">
        <v>300</v>
      </c>
      <c r="D144" s="101">
        <v>4.3405440339231932E-6</v>
      </c>
      <c r="E144" s="11" t="s">
        <v>1808</v>
      </c>
      <c r="F144" s="101">
        <v>2.6216130640695057E-5</v>
      </c>
      <c r="G144" s="11" t="s">
        <v>1808</v>
      </c>
      <c r="H144" s="101">
        <v>3.0360501641049935E-7</v>
      </c>
      <c r="I144" s="54" t="s">
        <v>1807</v>
      </c>
      <c r="J144" s="101">
        <v>2.3600202583652728E-5</v>
      </c>
      <c r="K144" s="11" t="s">
        <v>1808</v>
      </c>
      <c r="L144" s="101">
        <v>8.9902922693354121E-8</v>
      </c>
      <c r="M144" s="11" t="s">
        <v>1808</v>
      </c>
      <c r="N144" s="101">
        <v>2.0058246551793962E-9</v>
      </c>
      <c r="O144" s="54" t="s">
        <v>1908</v>
      </c>
      <c r="P144" s="101">
        <v>4.7771617327387847E-7</v>
      </c>
      <c r="Q144" s="54" t="s">
        <v>1908</v>
      </c>
      <c r="R144" s="101">
        <v>2.9314098751923461E-8</v>
      </c>
      <c r="S144" s="54" t="s">
        <v>1908</v>
      </c>
      <c r="T144" s="101">
        <v>7.9471723914220929E-10</v>
      </c>
      <c r="U144" s="54" t="s">
        <v>1908</v>
      </c>
      <c r="V144" s="101">
        <v>1.9040625498598856E-7</v>
      </c>
      <c r="W144" s="54" t="s">
        <v>1908</v>
      </c>
    </row>
    <row r="145" spans="2:23" ht="24.9" customHeight="1" x14ac:dyDescent="0.25">
      <c r="B145" s="36" t="s">
        <v>516</v>
      </c>
      <c r="C145" s="33">
        <v>400</v>
      </c>
      <c r="D145" s="101">
        <v>6.8353083991042131E-6</v>
      </c>
      <c r="E145" s="11" t="s">
        <v>1808</v>
      </c>
      <c r="F145" s="101">
        <v>3.8471599913536387E-5</v>
      </c>
      <c r="G145" s="11" t="s">
        <v>1808</v>
      </c>
      <c r="H145" s="101">
        <v>2.7903792830181202E-7</v>
      </c>
      <c r="I145" s="54" t="s">
        <v>1807</v>
      </c>
      <c r="J145" s="101">
        <v>2.2284508495438907E-5</v>
      </c>
      <c r="K145" s="11" t="s">
        <v>1808</v>
      </c>
      <c r="L145" s="101">
        <v>1.0921945424688404E-7</v>
      </c>
      <c r="M145" s="11" t="s">
        <v>1808</v>
      </c>
      <c r="N145" s="101">
        <v>5.6846199324286109E-11</v>
      </c>
      <c r="O145" s="54" t="s">
        <v>1908</v>
      </c>
      <c r="P145" s="101">
        <v>1.5575405610216406E-7</v>
      </c>
      <c r="Q145" s="54" t="s">
        <v>1908</v>
      </c>
      <c r="R145" s="101">
        <v>2.7647499116494595E-8</v>
      </c>
      <c r="S145" s="54" t="s">
        <v>1908</v>
      </c>
      <c r="T145" s="101">
        <v>1.5198060366737191E-9</v>
      </c>
      <c r="U145" s="54" t="s">
        <v>1908</v>
      </c>
      <c r="V145" s="101">
        <v>1.5204013434295508E-7</v>
      </c>
      <c r="W145" s="54" t="s">
        <v>1908</v>
      </c>
    </row>
    <row r="146" spans="2:23" ht="24.9" customHeight="1" x14ac:dyDescent="0.25">
      <c r="B146" s="36" t="s">
        <v>516</v>
      </c>
      <c r="C146" s="33">
        <v>500</v>
      </c>
      <c r="D146" s="101">
        <v>8.6905592186906498E-6</v>
      </c>
      <c r="E146" s="11" t="s">
        <v>1808</v>
      </c>
      <c r="F146" s="101">
        <v>4.7342691777412557E-5</v>
      </c>
      <c r="G146" s="11" t="s">
        <v>1808</v>
      </c>
      <c r="H146" s="101">
        <v>6.0117516059346819E-7</v>
      </c>
      <c r="I146" s="54" t="s">
        <v>1807</v>
      </c>
      <c r="J146" s="101">
        <v>3.008981628302403E-5</v>
      </c>
      <c r="K146" s="11" t="s">
        <v>1808</v>
      </c>
      <c r="L146" s="101">
        <v>1.1342266783162087E-7</v>
      </c>
      <c r="M146" s="11" t="s">
        <v>1808</v>
      </c>
      <c r="N146" s="101">
        <v>1.0165355059151947E-9</v>
      </c>
      <c r="O146" s="54" t="s">
        <v>1908</v>
      </c>
      <c r="P146" s="101">
        <v>6.0200664763405897E-8</v>
      </c>
      <c r="Q146" s="54" t="s">
        <v>1908</v>
      </c>
      <c r="R146" s="101">
        <v>3.4682685234482889E-8</v>
      </c>
      <c r="S146" s="54" t="s">
        <v>1908</v>
      </c>
      <c r="T146" s="101">
        <v>1.3601697393402616E-9</v>
      </c>
      <c r="U146" s="54" t="s">
        <v>1908</v>
      </c>
      <c r="V146" s="101">
        <v>3.4051136865313827E-7</v>
      </c>
      <c r="W146" s="54" t="s">
        <v>1908</v>
      </c>
    </row>
    <row r="147" spans="2:23" ht="24.9" customHeight="1" x14ac:dyDescent="0.25">
      <c r="B147" s="103" t="s">
        <v>501</v>
      </c>
      <c r="C147" s="33">
        <v>100</v>
      </c>
      <c r="D147" s="101">
        <v>1.6000226132241049E-7</v>
      </c>
      <c r="E147" s="11"/>
      <c r="F147" s="101">
        <v>6.3490162801132986E-6</v>
      </c>
      <c r="G147" s="11"/>
      <c r="H147" s="101">
        <v>4.909568748004926E-7</v>
      </c>
      <c r="I147" s="54"/>
      <c r="J147" s="101">
        <v>4.9253663607388595E-6</v>
      </c>
      <c r="K147" s="11"/>
      <c r="L147" s="101">
        <v>9.2304303687336123E-9</v>
      </c>
      <c r="M147" s="11"/>
      <c r="N147" s="101">
        <v>1.2013429558655832E-9</v>
      </c>
      <c r="O147" s="54"/>
      <c r="P147" s="101">
        <v>5.4724540938307224E-7</v>
      </c>
      <c r="Q147" s="54"/>
      <c r="R147" s="101">
        <v>6.4549112906721841E-9</v>
      </c>
      <c r="S147" s="54"/>
      <c r="T147" s="101">
        <v>1.506447277329423E-9</v>
      </c>
      <c r="U147" s="54"/>
      <c r="V147" s="101">
        <v>2.6661414211890291E-7</v>
      </c>
      <c r="W147" s="54"/>
    </row>
    <row r="148" spans="2:23" ht="24.9" customHeight="1" x14ac:dyDescent="0.25">
      <c r="B148" s="103" t="s">
        <v>501</v>
      </c>
      <c r="C148" s="33">
        <v>200</v>
      </c>
      <c r="D148" s="101">
        <v>1.9388214905874531E-6</v>
      </c>
      <c r="E148" s="11"/>
      <c r="F148" s="101">
        <v>9.0402566692882147E-6</v>
      </c>
      <c r="G148" s="11"/>
      <c r="H148" s="101">
        <v>1.4028846912833769E-7</v>
      </c>
      <c r="I148" s="54"/>
      <c r="J148" s="101">
        <v>8.3164717940799759E-6</v>
      </c>
      <c r="K148" s="11"/>
      <c r="L148" s="101">
        <v>4.7830793759202606E-9</v>
      </c>
      <c r="M148" s="11"/>
      <c r="N148" s="101">
        <v>1.0531801414513682E-8</v>
      </c>
      <c r="O148" s="54"/>
      <c r="P148" s="101">
        <v>3.3235357553503062E-7</v>
      </c>
      <c r="Q148" s="54"/>
      <c r="R148" s="101">
        <v>5.1372149630388792E-9</v>
      </c>
      <c r="S148" s="54"/>
      <c r="T148" s="101">
        <v>1.0695239614897365E-9</v>
      </c>
      <c r="U148" s="54"/>
      <c r="V148" s="101">
        <v>1.9943875512964006E-8</v>
      </c>
      <c r="W148" s="54"/>
    </row>
    <row r="149" spans="2:23" ht="24.9" customHeight="1" x14ac:dyDescent="0.25">
      <c r="B149" s="103" t="s">
        <v>501</v>
      </c>
      <c r="C149" s="33">
        <v>300</v>
      </c>
      <c r="D149" s="101">
        <v>2.7125916751176123E-6</v>
      </c>
      <c r="E149" s="11"/>
      <c r="F149" s="101">
        <v>1.4956451465824645E-5</v>
      </c>
      <c r="G149" s="11"/>
      <c r="H149" s="101">
        <v>1.6214569119236382E-7</v>
      </c>
      <c r="I149" s="54"/>
      <c r="J149" s="101">
        <v>1.7594420703038471E-5</v>
      </c>
      <c r="K149" s="11"/>
      <c r="L149" s="101">
        <v>1.0041285725208397E-8</v>
      </c>
      <c r="M149" s="11"/>
      <c r="N149" s="101">
        <v>2.3714953741635513E-9</v>
      </c>
      <c r="O149" s="54"/>
      <c r="P149" s="101">
        <v>7.5842256764145289E-7</v>
      </c>
      <c r="Q149" s="54"/>
      <c r="R149" s="101">
        <v>7.8395982841928998E-9</v>
      </c>
      <c r="S149" s="54"/>
      <c r="T149" s="101">
        <v>1.3764906358451723E-9</v>
      </c>
      <c r="U149" s="54"/>
      <c r="V149" s="101">
        <v>7.2060293533042561E-8</v>
      </c>
      <c r="W149" s="54"/>
    </row>
    <row r="150" spans="2:23" ht="24.9" customHeight="1" x14ac:dyDescent="0.25">
      <c r="B150" s="103" t="s">
        <v>501</v>
      </c>
      <c r="C150" s="33">
        <v>400</v>
      </c>
      <c r="D150" s="101">
        <v>4.2099672855461526E-6</v>
      </c>
      <c r="E150" s="11"/>
      <c r="F150" s="101">
        <v>1.9946338080034164E-5</v>
      </c>
      <c r="G150" s="11"/>
      <c r="H150" s="101">
        <v>2.2741256075484386E-7</v>
      </c>
      <c r="I150" s="54"/>
      <c r="J150" s="101">
        <v>1.0143792590963939E-5</v>
      </c>
      <c r="K150" s="11"/>
      <c r="L150" s="101">
        <v>1.2367755434590463E-8</v>
      </c>
      <c r="M150" s="11"/>
      <c r="N150" s="101">
        <v>9.8460505446851125E-11</v>
      </c>
      <c r="O150" s="54"/>
      <c r="P150" s="101">
        <v>2.1847148730691886E-7</v>
      </c>
      <c r="Q150" s="54"/>
      <c r="R150" s="101">
        <v>1.1064108562665104E-8</v>
      </c>
      <c r="S150" s="54"/>
      <c r="T150" s="101">
        <v>1.9798163177455325E-9</v>
      </c>
      <c r="U150" s="54"/>
      <c r="V150" s="101">
        <v>1.1946862858449058E-7</v>
      </c>
      <c r="W150" s="54"/>
    </row>
    <row r="151" spans="2:23" ht="24.9" customHeight="1" x14ac:dyDescent="0.25">
      <c r="B151" s="103" t="s">
        <v>501</v>
      </c>
      <c r="C151" s="33">
        <v>500</v>
      </c>
      <c r="D151" s="101">
        <v>4.3925171313955528E-6</v>
      </c>
      <c r="E151" s="11"/>
      <c r="F151" s="101">
        <v>2.158042907437654E-5</v>
      </c>
      <c r="G151" s="11"/>
      <c r="H151" s="101">
        <v>6.9732420833059327E-7</v>
      </c>
      <c r="I151" s="54"/>
      <c r="J151" s="101">
        <v>1.2333110089870549E-5</v>
      </c>
      <c r="K151" s="11"/>
      <c r="L151" s="101">
        <v>2.1102565195605094E-8</v>
      </c>
      <c r="M151" s="11"/>
      <c r="N151" s="101">
        <v>8.3040690448386628E-10</v>
      </c>
      <c r="O151" s="54"/>
      <c r="P151" s="101">
        <v>5.2420449759135263E-8</v>
      </c>
      <c r="Q151" s="54"/>
      <c r="R151" s="101">
        <v>1.1874938807367126E-8</v>
      </c>
      <c r="S151" s="54"/>
      <c r="T151" s="101">
        <v>1.0176933698749044E-9</v>
      </c>
      <c r="U151" s="54"/>
      <c r="V151" s="101">
        <v>1.6383569084450582E-7</v>
      </c>
      <c r="W151" s="54"/>
    </row>
    <row r="152" spans="2:23" ht="24.9" customHeight="1" x14ac:dyDescent="0.25">
      <c r="B152" s="103"/>
      <c r="C152" s="33"/>
      <c r="D152" s="101"/>
      <c r="E152" s="11"/>
      <c r="F152" s="101"/>
      <c r="G152" s="11"/>
      <c r="H152" s="101"/>
      <c r="I152" s="11"/>
      <c r="J152" s="101"/>
      <c r="K152" s="11"/>
      <c r="L152" s="101"/>
      <c r="M152" s="11"/>
      <c r="N152" s="101"/>
      <c r="O152" s="11"/>
      <c r="P152" s="101"/>
      <c r="Q152" s="11"/>
      <c r="R152" s="101"/>
      <c r="S152" s="11"/>
      <c r="T152" s="101"/>
      <c r="U152" s="11"/>
      <c r="V152" s="101"/>
    </row>
    <row r="153" spans="2:23" ht="24.9" customHeight="1" x14ac:dyDescent="0.25">
      <c r="B153" s="36" t="s">
        <v>1020</v>
      </c>
      <c r="C153" s="33">
        <v>100</v>
      </c>
      <c r="D153" s="101">
        <v>3.1463319605419899E-6</v>
      </c>
      <c r="E153" s="11" t="s">
        <v>1808</v>
      </c>
      <c r="F153" s="101">
        <v>9.4581214834975033E-6</v>
      </c>
      <c r="G153" s="11" t="s">
        <v>1808</v>
      </c>
      <c r="H153" s="101">
        <v>3.7556425099140793E-7</v>
      </c>
      <c r="I153" s="54" t="s">
        <v>1807</v>
      </c>
      <c r="J153" s="101">
        <v>1.2388739048736955E-6</v>
      </c>
      <c r="K153" s="54" t="s">
        <v>1908</v>
      </c>
      <c r="L153" s="101">
        <v>2.6909172492390933E-7</v>
      </c>
      <c r="M153" s="11" t="s">
        <v>1808</v>
      </c>
      <c r="N153" s="101">
        <v>0</v>
      </c>
      <c r="O153" s="54" t="s">
        <v>1908</v>
      </c>
      <c r="P153" s="101">
        <v>9.3516836622239459E-8</v>
      </c>
      <c r="Q153" s="54" t="s">
        <v>1908</v>
      </c>
      <c r="R153" s="101">
        <v>6.8394369688023911E-8</v>
      </c>
      <c r="S153" s="54" t="s">
        <v>1807</v>
      </c>
      <c r="T153" s="101">
        <v>5.6373798090231638E-10</v>
      </c>
      <c r="U153" s="54" t="s">
        <v>1908</v>
      </c>
      <c r="V153" s="101">
        <v>3.1727808486578179E-7</v>
      </c>
      <c r="W153" s="54" t="s">
        <v>1908</v>
      </c>
    </row>
    <row r="154" spans="2:23" ht="24.9" customHeight="1" x14ac:dyDescent="0.25">
      <c r="B154" s="36" t="s">
        <v>1020</v>
      </c>
      <c r="C154" s="33">
        <v>200</v>
      </c>
      <c r="D154" s="101">
        <v>6.1210747410456766E-6</v>
      </c>
      <c r="E154" s="11" t="s">
        <v>1808</v>
      </c>
      <c r="F154" s="101">
        <v>1.519203302845491E-5</v>
      </c>
      <c r="G154" s="11" t="s">
        <v>1808</v>
      </c>
      <c r="H154" s="101">
        <v>7.2327990676214911E-7</v>
      </c>
      <c r="I154" s="54" t="s">
        <v>1807</v>
      </c>
      <c r="J154" s="101">
        <v>4.1855762136310762E-6</v>
      </c>
      <c r="K154" s="54" t="s">
        <v>1807</v>
      </c>
      <c r="L154" s="101">
        <v>2.7897583100230233E-7</v>
      </c>
      <c r="M154" s="11" t="s">
        <v>1808</v>
      </c>
      <c r="N154" s="101">
        <v>2.0409098220417249E-8</v>
      </c>
      <c r="O154" s="54" t="s">
        <v>1808</v>
      </c>
      <c r="P154" s="101">
        <v>1.2759842781204319E-6</v>
      </c>
      <c r="Q154" s="54" t="s">
        <v>1908</v>
      </c>
      <c r="R154" s="101">
        <v>1.2134156151759954E-7</v>
      </c>
      <c r="S154" s="54" t="s">
        <v>1807</v>
      </c>
      <c r="T154" s="101">
        <v>6.7349687623801206E-9</v>
      </c>
      <c r="U154" s="54" t="s">
        <v>1908</v>
      </c>
      <c r="V154" s="101">
        <v>4.2952287475720399E-7</v>
      </c>
      <c r="W154" s="54" t="s">
        <v>1908</v>
      </c>
    </row>
    <row r="155" spans="2:23" ht="24.9" customHeight="1" x14ac:dyDescent="0.25">
      <c r="B155" s="36" t="s">
        <v>1020</v>
      </c>
      <c r="C155" s="33">
        <v>300</v>
      </c>
      <c r="D155" s="101">
        <v>6.7070016130522138E-6</v>
      </c>
      <c r="E155" s="11" t="s">
        <v>1808</v>
      </c>
      <c r="F155" s="101">
        <v>1.6326626656685449E-5</v>
      </c>
      <c r="G155" s="11" t="s">
        <v>1808</v>
      </c>
      <c r="H155" s="101">
        <v>1.9428092996500328E-6</v>
      </c>
      <c r="I155" s="54" t="s">
        <v>1807</v>
      </c>
      <c r="J155" s="101">
        <v>2.4548349042276424E-6</v>
      </c>
      <c r="K155" s="54" t="s">
        <v>1908</v>
      </c>
      <c r="L155" s="101">
        <v>2.7395667329673539E-7</v>
      </c>
      <c r="M155" s="11" t="s">
        <v>1808</v>
      </c>
      <c r="N155" s="101">
        <v>1.7167614651357033E-9</v>
      </c>
      <c r="O155" s="54" t="s">
        <v>1908</v>
      </c>
      <c r="P155" s="101">
        <v>2.5629561306465551E-7</v>
      </c>
      <c r="Q155" s="54" t="s">
        <v>1908</v>
      </c>
      <c r="R155" s="101">
        <v>1.0873668612034932E-7</v>
      </c>
      <c r="S155" s="54" t="s">
        <v>1807</v>
      </c>
      <c r="T155" s="101">
        <v>3.1505850922964243E-10</v>
      </c>
      <c r="U155" s="54" t="s">
        <v>1908</v>
      </c>
      <c r="V155" s="101">
        <v>5.2798989106660393E-7</v>
      </c>
      <c r="W155" s="54" t="s">
        <v>1908</v>
      </c>
    </row>
    <row r="156" spans="2:23" ht="24.9" customHeight="1" x14ac:dyDescent="0.25">
      <c r="B156" s="36" t="s">
        <v>1020</v>
      </c>
      <c r="C156" s="33">
        <v>400</v>
      </c>
      <c r="D156" s="101">
        <v>4.6782940809755146E-6</v>
      </c>
      <c r="E156" s="11" t="s">
        <v>1808</v>
      </c>
      <c r="F156" s="101">
        <v>1.7893575355403321E-5</v>
      </c>
      <c r="G156" s="11" t="s">
        <v>1808</v>
      </c>
      <c r="H156" s="101">
        <v>3.8952025897704556E-7</v>
      </c>
      <c r="I156" s="54" t="s">
        <v>1807</v>
      </c>
      <c r="J156" s="101">
        <v>2.7658089947368789E-6</v>
      </c>
      <c r="K156" s="54" t="s">
        <v>1908</v>
      </c>
      <c r="L156" s="101">
        <v>2.9887105136041091E-7</v>
      </c>
      <c r="M156" s="11" t="s">
        <v>1808</v>
      </c>
      <c r="N156" s="101">
        <v>9.5721141071941503E-10</v>
      </c>
      <c r="O156" s="54" t="s">
        <v>1908</v>
      </c>
      <c r="P156" s="101">
        <v>0</v>
      </c>
      <c r="Q156" s="54" t="s">
        <v>1908</v>
      </c>
      <c r="R156" s="101">
        <v>1.0956885234404546E-7</v>
      </c>
      <c r="S156" s="54" t="s">
        <v>1807</v>
      </c>
      <c r="T156" s="101">
        <v>2.0498537123977138E-9</v>
      </c>
      <c r="U156" s="54" t="s">
        <v>1908</v>
      </c>
      <c r="V156" s="101">
        <v>1.5079065124646477E-7</v>
      </c>
      <c r="W156" s="54" t="s">
        <v>1908</v>
      </c>
    </row>
    <row r="157" spans="2:23" ht="24.9" customHeight="1" x14ac:dyDescent="0.25">
      <c r="B157" s="36" t="s">
        <v>1020</v>
      </c>
      <c r="C157" s="33">
        <v>500</v>
      </c>
      <c r="D157" s="101">
        <v>7.3818924584622512E-6</v>
      </c>
      <c r="E157" s="11" t="s">
        <v>1808</v>
      </c>
      <c r="F157" s="101">
        <v>2.3258157615296045E-5</v>
      </c>
      <c r="G157" s="11" t="s">
        <v>1808</v>
      </c>
      <c r="H157" s="101">
        <v>8.1011154835491278E-7</v>
      </c>
      <c r="I157" s="54" t="s">
        <v>1807</v>
      </c>
      <c r="J157" s="101">
        <v>3.9926674828855724E-6</v>
      </c>
      <c r="K157" s="54" t="s">
        <v>1807</v>
      </c>
      <c r="L157" s="101">
        <v>2.9078701350024028E-7</v>
      </c>
      <c r="M157" s="11" t="s">
        <v>1808</v>
      </c>
      <c r="N157" s="101">
        <v>2.3869975799532197E-9</v>
      </c>
      <c r="O157" s="54" t="s">
        <v>1908</v>
      </c>
      <c r="P157" s="101">
        <v>1.7401361363888234E-6</v>
      </c>
      <c r="Q157" s="54" t="s">
        <v>1908</v>
      </c>
      <c r="R157" s="101">
        <v>1.408379367553701E-7</v>
      </c>
      <c r="S157" s="54" t="s">
        <v>1807</v>
      </c>
      <c r="T157" s="101">
        <v>1.3200730621880988E-9</v>
      </c>
      <c r="U157" s="54" t="s">
        <v>1908</v>
      </c>
      <c r="V157" s="101">
        <v>2.2080210876376422E-7</v>
      </c>
      <c r="W157" s="54" t="s">
        <v>1908</v>
      </c>
    </row>
    <row r="158" spans="2:23" ht="24.9" customHeight="1" x14ac:dyDescent="0.25">
      <c r="B158" s="103" t="s">
        <v>501</v>
      </c>
      <c r="C158" s="33">
        <v>100</v>
      </c>
      <c r="D158" s="101">
        <v>2.5724908485392921E-6</v>
      </c>
      <c r="E158" s="11"/>
      <c r="F158" s="101">
        <v>5.548330310656719E-6</v>
      </c>
      <c r="G158" s="11"/>
      <c r="H158" s="101">
        <v>5.1637127288172849E-7</v>
      </c>
      <c r="I158" s="54"/>
      <c r="J158" s="101">
        <v>1.1194480181587636E-6</v>
      </c>
      <c r="K158" s="54"/>
      <c r="L158" s="101">
        <v>8.1240423323914734E-8</v>
      </c>
      <c r="M158" s="11"/>
      <c r="N158" s="101">
        <v>0</v>
      </c>
      <c r="O158" s="54"/>
      <c r="P158" s="101">
        <v>1.6197591239283659E-7</v>
      </c>
      <c r="Q158" s="54"/>
      <c r="R158" s="101">
        <v>3.0144346485599819E-8</v>
      </c>
      <c r="S158" s="54"/>
      <c r="T158" s="101">
        <v>9.1349477097653838E-10</v>
      </c>
      <c r="U158" s="54"/>
      <c r="V158" s="101">
        <v>3.722616460963309E-7</v>
      </c>
      <c r="W158" s="54"/>
    </row>
    <row r="159" spans="2:23" ht="24.9" customHeight="1" x14ac:dyDescent="0.25">
      <c r="B159" s="103" t="s">
        <v>501</v>
      </c>
      <c r="C159" s="33">
        <v>200</v>
      </c>
      <c r="D159" s="101">
        <v>6.2671558676917625E-6</v>
      </c>
      <c r="E159" s="11"/>
      <c r="F159" s="101">
        <v>9.2251291009175248E-6</v>
      </c>
      <c r="G159" s="11"/>
      <c r="H159" s="101">
        <v>4.9216276512619971E-7</v>
      </c>
      <c r="I159" s="54"/>
      <c r="J159" s="101">
        <v>2.7722060812242721E-6</v>
      </c>
      <c r="K159" s="54"/>
      <c r="L159" s="101">
        <v>1.098686356005923E-7</v>
      </c>
      <c r="M159" s="11"/>
      <c r="N159" s="101">
        <v>3.3299629214296164E-8</v>
      </c>
      <c r="O159" s="54"/>
      <c r="P159" s="101">
        <v>1.1214937642823021E-6</v>
      </c>
      <c r="Q159" s="54"/>
      <c r="R159" s="101">
        <v>5.6342935915401641E-8</v>
      </c>
      <c r="S159" s="54"/>
      <c r="T159" s="101">
        <v>5.8843166436889196E-9</v>
      </c>
      <c r="U159" s="54"/>
      <c r="V159" s="101">
        <v>1.5388588788458755E-7</v>
      </c>
      <c r="W159" s="54"/>
    </row>
    <row r="160" spans="2:23" ht="24.9" customHeight="1" x14ac:dyDescent="0.25">
      <c r="B160" s="103" t="s">
        <v>501</v>
      </c>
      <c r="C160" s="33">
        <v>300</v>
      </c>
      <c r="D160" s="101">
        <v>7.5564747647033176E-6</v>
      </c>
      <c r="E160" s="11"/>
      <c r="F160" s="101">
        <v>4.328200611593168E-6</v>
      </c>
      <c r="G160" s="11"/>
      <c r="H160" s="101">
        <v>1.9012436506557501E-6</v>
      </c>
      <c r="I160" s="54"/>
      <c r="J160" s="101">
        <v>3.5451436455702879E-7</v>
      </c>
      <c r="K160" s="54"/>
      <c r="L160" s="101">
        <v>5.546989031814231E-8</v>
      </c>
      <c r="M160" s="11"/>
      <c r="N160" s="101">
        <v>2.9735180820914236E-9</v>
      </c>
      <c r="O160" s="54"/>
      <c r="P160" s="101">
        <v>2.5215714426402644E-7</v>
      </c>
      <c r="Q160" s="54"/>
      <c r="R160" s="101">
        <v>2.8670112934522763E-8</v>
      </c>
      <c r="S160" s="54"/>
      <c r="T160" s="101">
        <v>4.0111785685757589E-10</v>
      </c>
      <c r="U160" s="54"/>
      <c r="V160" s="101">
        <v>4.1923442721984687E-7</v>
      </c>
      <c r="W160" s="54"/>
    </row>
    <row r="161" spans="2:23" ht="24.9" customHeight="1" x14ac:dyDescent="0.25">
      <c r="B161" s="103" t="s">
        <v>501</v>
      </c>
      <c r="C161" s="33">
        <v>400</v>
      </c>
      <c r="D161" s="101">
        <v>1.8427295408117152E-6</v>
      </c>
      <c r="E161" s="11"/>
      <c r="F161" s="101">
        <v>1.0411368929286693E-5</v>
      </c>
      <c r="G161" s="11"/>
      <c r="H161" s="101">
        <v>5.1320239375458376E-7</v>
      </c>
      <c r="I161" s="54"/>
      <c r="J161" s="101">
        <v>2.3455958572091004E-6</v>
      </c>
      <c r="K161" s="54"/>
      <c r="L161" s="101">
        <v>1.1262351759377665E-7</v>
      </c>
      <c r="M161" s="11"/>
      <c r="N161" s="101">
        <v>1.0751687209897719E-9</v>
      </c>
      <c r="O161" s="54"/>
      <c r="P161" s="101">
        <v>0</v>
      </c>
      <c r="Q161" s="54"/>
      <c r="R161" s="101">
        <v>5.7389815960445739E-8</v>
      </c>
      <c r="S161" s="54"/>
      <c r="T161" s="101">
        <v>2.9836503631758252E-9</v>
      </c>
      <c r="U161" s="54"/>
      <c r="V161" s="101">
        <v>2.6117706926527629E-7</v>
      </c>
      <c r="W161" s="54"/>
    </row>
    <row r="162" spans="2:23" ht="24.9" customHeight="1" x14ac:dyDescent="0.25">
      <c r="B162" s="103" t="s">
        <v>501</v>
      </c>
      <c r="C162" s="33">
        <v>500</v>
      </c>
      <c r="D162" s="101">
        <v>3.0693598204017462E-6</v>
      </c>
      <c r="E162" s="11"/>
      <c r="F162" s="101">
        <v>1.5673114890387298E-5</v>
      </c>
      <c r="G162" s="11"/>
      <c r="H162" s="101">
        <v>9.8785188580316273E-7</v>
      </c>
      <c r="I162" s="54"/>
      <c r="J162" s="101">
        <v>1.5746107436209936E-6</v>
      </c>
      <c r="K162" s="54"/>
      <c r="L162" s="101">
        <v>7.1664664026611167E-8</v>
      </c>
      <c r="M162" s="11"/>
      <c r="N162" s="101">
        <v>1.0750559441192632E-9</v>
      </c>
      <c r="O162" s="54"/>
      <c r="P162" s="101">
        <v>1.8444474816337041E-6</v>
      </c>
      <c r="Q162" s="54"/>
      <c r="R162" s="101">
        <v>4.6660596332575668E-8</v>
      </c>
      <c r="S162" s="54"/>
      <c r="T162" s="101">
        <v>1.70955209880434E-9</v>
      </c>
      <c r="U162" s="54"/>
      <c r="V162" s="101">
        <v>3.8244047079718896E-7</v>
      </c>
      <c r="W162" s="54"/>
    </row>
    <row r="163" spans="2:23" ht="24.9" customHeight="1" x14ac:dyDescent="0.25">
      <c r="B163" s="103"/>
      <c r="C163" s="33"/>
      <c r="D163" s="101"/>
      <c r="E163" s="11"/>
      <c r="F163" s="101"/>
      <c r="G163" s="11"/>
      <c r="H163" s="101"/>
      <c r="I163" s="11"/>
      <c r="J163" s="101"/>
      <c r="K163" s="11"/>
      <c r="L163" s="101"/>
      <c r="M163" s="11"/>
      <c r="N163" s="101"/>
      <c r="O163" s="11"/>
      <c r="P163" s="101"/>
      <c r="Q163" s="11"/>
      <c r="R163" s="101"/>
      <c r="S163" s="11"/>
      <c r="T163" s="101"/>
      <c r="U163" s="11"/>
      <c r="V163" s="101"/>
    </row>
    <row r="164" spans="2:23" ht="24.9" customHeight="1" x14ac:dyDescent="0.25">
      <c r="B164" s="36" t="s">
        <v>43</v>
      </c>
      <c r="C164" s="33">
        <v>100</v>
      </c>
      <c r="D164" s="101">
        <v>4.6789209683436125E-6</v>
      </c>
      <c r="E164" s="11" t="s">
        <v>1808</v>
      </c>
      <c r="F164" s="101">
        <v>2.0296142428869517E-5</v>
      </c>
      <c r="G164" s="11" t="s">
        <v>1808</v>
      </c>
      <c r="H164" s="101">
        <v>9.0203009686601688E-7</v>
      </c>
      <c r="I164" s="54" t="s">
        <v>1807</v>
      </c>
      <c r="J164" s="101">
        <v>4.4441056402064063E-6</v>
      </c>
      <c r="K164" s="54" t="s">
        <v>1807</v>
      </c>
      <c r="L164" s="101">
        <v>5.1428556600879364E-8</v>
      </c>
      <c r="M164" s="54" t="s">
        <v>1807</v>
      </c>
      <c r="N164" s="101">
        <v>5.3837445380326397E-9</v>
      </c>
      <c r="O164" s="54" t="s">
        <v>1908</v>
      </c>
      <c r="P164" s="101">
        <v>2.0320939661750329E-6</v>
      </c>
      <c r="Q164" s="54" t="s">
        <v>1908</v>
      </c>
      <c r="R164" s="101">
        <v>1.4296976225757504E-6</v>
      </c>
      <c r="S164" s="11" t="s">
        <v>1808</v>
      </c>
      <c r="T164" s="101">
        <v>5.9020164993838993E-9</v>
      </c>
      <c r="U164" s="54" t="s">
        <v>1908</v>
      </c>
      <c r="V164" s="101">
        <v>4.3582129588010443E-7</v>
      </c>
      <c r="W164" s="54" t="s">
        <v>1908</v>
      </c>
    </row>
    <row r="165" spans="2:23" ht="24.9" customHeight="1" x14ac:dyDescent="0.25">
      <c r="B165" s="36" t="s">
        <v>43</v>
      </c>
      <c r="C165" s="33">
        <v>200</v>
      </c>
      <c r="D165" s="101">
        <v>8.6060424261786645E-6</v>
      </c>
      <c r="E165" s="11" t="s">
        <v>1808</v>
      </c>
      <c r="F165" s="101">
        <v>4.0179889139559589E-5</v>
      </c>
      <c r="G165" s="11" t="s">
        <v>1808</v>
      </c>
      <c r="H165" s="101">
        <v>7.2833518142652028E-7</v>
      </c>
      <c r="I165" s="54" t="s">
        <v>1807</v>
      </c>
      <c r="J165" s="101">
        <v>5.0760649477816771E-6</v>
      </c>
      <c r="K165" s="54" t="s">
        <v>1807</v>
      </c>
      <c r="L165" s="101">
        <v>5.2809853022177914E-8</v>
      </c>
      <c r="M165" s="54" t="s">
        <v>1807</v>
      </c>
      <c r="N165" s="101">
        <v>1.4156375477056143E-10</v>
      </c>
      <c r="O165" s="54" t="s">
        <v>1908</v>
      </c>
      <c r="P165" s="101">
        <v>3.6605219406317303E-7</v>
      </c>
      <c r="Q165" s="54" t="s">
        <v>1908</v>
      </c>
      <c r="R165" s="101">
        <v>1.8386787522735265E-6</v>
      </c>
      <c r="S165" s="11" t="s">
        <v>1808</v>
      </c>
      <c r="T165" s="101">
        <v>3.5416408829695416E-9</v>
      </c>
      <c r="U165" s="54" t="s">
        <v>1908</v>
      </c>
      <c r="V165" s="101">
        <v>2.0787268897700537E-7</v>
      </c>
      <c r="W165" s="54" t="s">
        <v>1908</v>
      </c>
    </row>
    <row r="166" spans="2:23" ht="24.9" customHeight="1" x14ac:dyDescent="0.25">
      <c r="B166" s="36" t="s">
        <v>43</v>
      </c>
      <c r="C166" s="33">
        <v>300</v>
      </c>
      <c r="D166" s="101">
        <v>9.8088500688289437E-6</v>
      </c>
      <c r="E166" s="11" t="s">
        <v>1808</v>
      </c>
      <c r="F166" s="101">
        <v>4.7101964692573046E-5</v>
      </c>
      <c r="G166" s="11" t="s">
        <v>1808</v>
      </c>
      <c r="H166" s="101">
        <v>9.254461918935625E-7</v>
      </c>
      <c r="I166" s="54" t="s">
        <v>1807</v>
      </c>
      <c r="J166" s="101">
        <v>4.4779425341573544E-6</v>
      </c>
      <c r="K166" s="54" t="s">
        <v>1807</v>
      </c>
      <c r="L166" s="101">
        <v>6.038525476508279E-8</v>
      </c>
      <c r="M166" s="54" t="s">
        <v>1807</v>
      </c>
      <c r="N166" s="101">
        <v>1.5546593244504705E-9</v>
      </c>
      <c r="O166" s="54" t="s">
        <v>1908</v>
      </c>
      <c r="P166" s="101">
        <v>4.0877879030653973E-7</v>
      </c>
      <c r="Q166" s="54" t="s">
        <v>1908</v>
      </c>
      <c r="R166" s="101">
        <v>1.789823464207251E-6</v>
      </c>
      <c r="S166" s="11" t="s">
        <v>1808</v>
      </c>
      <c r="T166" s="101">
        <v>3.7115783455945779E-9</v>
      </c>
      <c r="U166" s="54" t="s">
        <v>1908</v>
      </c>
      <c r="V166" s="101">
        <v>5.0304950668685891E-7</v>
      </c>
      <c r="W166" s="54" t="s">
        <v>1908</v>
      </c>
    </row>
    <row r="167" spans="2:23" ht="24.9" customHeight="1" x14ac:dyDescent="0.25">
      <c r="B167" s="36" t="s">
        <v>43</v>
      </c>
      <c r="C167" s="33">
        <v>400</v>
      </c>
      <c r="D167" s="101">
        <v>7.0893936242681461E-6</v>
      </c>
      <c r="E167" s="11" t="s">
        <v>1808</v>
      </c>
      <c r="F167" s="101">
        <v>3.9123991797084121E-5</v>
      </c>
      <c r="G167" s="11" t="s">
        <v>1808</v>
      </c>
      <c r="H167" s="101">
        <v>1.1081633592187615E-6</v>
      </c>
      <c r="I167" s="54" t="s">
        <v>1807</v>
      </c>
      <c r="J167" s="101">
        <v>6.4763688587026399E-6</v>
      </c>
      <c r="K167" s="54" t="s">
        <v>1807</v>
      </c>
      <c r="L167" s="101">
        <v>5.9475771867227899E-8</v>
      </c>
      <c r="M167" s="11" t="s">
        <v>1808</v>
      </c>
      <c r="N167" s="101">
        <v>1.7386514886109458E-9</v>
      </c>
      <c r="O167" s="54" t="s">
        <v>1908</v>
      </c>
      <c r="P167" s="101">
        <v>4.0377117751587753E-7</v>
      </c>
      <c r="Q167" s="54" t="s">
        <v>1908</v>
      </c>
      <c r="R167" s="101">
        <v>2.0421065468375937E-6</v>
      </c>
      <c r="S167" s="11" t="s">
        <v>1808</v>
      </c>
      <c r="T167" s="101">
        <v>6.5260016206397466E-9</v>
      </c>
      <c r="U167" s="54" t="s">
        <v>1908</v>
      </c>
      <c r="V167" s="101">
        <v>3.9350579217636128E-7</v>
      </c>
      <c r="W167" s="54" t="s">
        <v>1908</v>
      </c>
    </row>
    <row r="168" spans="2:23" ht="24.9" customHeight="1" x14ac:dyDescent="0.25">
      <c r="B168" s="36" t="s">
        <v>43</v>
      </c>
      <c r="C168" s="33">
        <v>500</v>
      </c>
      <c r="D168" s="101">
        <v>6.4064275523437685E-6</v>
      </c>
      <c r="E168" s="11" t="s">
        <v>1808</v>
      </c>
      <c r="F168" s="101">
        <v>3.884531658059566E-5</v>
      </c>
      <c r="G168" s="11" t="s">
        <v>1808</v>
      </c>
      <c r="H168" s="101">
        <v>1.8566105568671175E-6</v>
      </c>
      <c r="I168" s="54" t="s">
        <v>1807</v>
      </c>
      <c r="J168" s="101">
        <v>1.2070126821911279E-5</v>
      </c>
      <c r="K168" s="54" t="s">
        <v>1807</v>
      </c>
      <c r="L168" s="101">
        <v>5.9175186081735283E-8</v>
      </c>
      <c r="M168" s="11" t="s">
        <v>1807</v>
      </c>
      <c r="N168" s="101">
        <v>7.5887096564320887E-10</v>
      </c>
      <c r="O168" s="54" t="s">
        <v>1908</v>
      </c>
      <c r="P168" s="101">
        <v>2.93263284434514E-7</v>
      </c>
      <c r="Q168" s="54" t="s">
        <v>1908</v>
      </c>
      <c r="R168" s="101">
        <v>3.0869180224371799E-6</v>
      </c>
      <c r="S168" s="11" t="s">
        <v>1808</v>
      </c>
      <c r="T168" s="101">
        <v>3.9982260602477906E-9</v>
      </c>
      <c r="U168" s="54" t="s">
        <v>1908</v>
      </c>
      <c r="V168" s="101">
        <v>6.9904056460392123E-7</v>
      </c>
      <c r="W168" s="54" t="s">
        <v>1908</v>
      </c>
    </row>
    <row r="169" spans="2:23" ht="24.9" customHeight="1" x14ac:dyDescent="0.25">
      <c r="B169" s="103" t="s">
        <v>501</v>
      </c>
      <c r="C169" s="33">
        <v>100</v>
      </c>
      <c r="D169" s="101">
        <v>1.9675992182106113E-6</v>
      </c>
      <c r="E169" s="11"/>
      <c r="F169" s="101">
        <v>9.4773122769319767E-6</v>
      </c>
      <c r="G169" s="11"/>
      <c r="H169" s="101">
        <v>9.0891520832137565E-8</v>
      </c>
      <c r="I169" s="54"/>
      <c r="J169" s="101">
        <v>1.0959518961112505E-6</v>
      </c>
      <c r="K169" s="54"/>
      <c r="L169" s="101">
        <v>8.1289751511188998E-9</v>
      </c>
      <c r="M169" s="11"/>
      <c r="N169" s="101">
        <v>6.6178547997227581E-9</v>
      </c>
      <c r="O169" s="54"/>
      <c r="P169" s="101">
        <v>1.6944751511960733E-6</v>
      </c>
      <c r="Q169" s="54"/>
      <c r="R169" s="101">
        <v>2.3435922081895245E-6</v>
      </c>
      <c r="S169" s="11"/>
      <c r="T169" s="101">
        <v>6.3260847403697933E-9</v>
      </c>
      <c r="U169" s="54"/>
      <c r="V169" s="101">
        <v>2.8079643047801356E-7</v>
      </c>
      <c r="W169" s="54"/>
    </row>
    <row r="170" spans="2:23" ht="24.9" customHeight="1" x14ac:dyDescent="0.25">
      <c r="B170" s="103" t="s">
        <v>501</v>
      </c>
      <c r="C170" s="33">
        <v>200</v>
      </c>
      <c r="D170" s="101">
        <v>5.7440881568370799E-6</v>
      </c>
      <c r="E170" s="11"/>
      <c r="F170" s="101">
        <v>2.5374114569197941E-5</v>
      </c>
      <c r="G170" s="11"/>
      <c r="H170" s="101">
        <v>2.2185757926534515E-7</v>
      </c>
      <c r="I170" s="54"/>
      <c r="J170" s="101">
        <v>2.5687130471165327E-6</v>
      </c>
      <c r="K170" s="54"/>
      <c r="L170" s="101">
        <v>1.5073005047722793E-8</v>
      </c>
      <c r="M170" s="11"/>
      <c r="N170" s="101">
        <v>2.451956157728334E-10</v>
      </c>
      <c r="O170" s="54"/>
      <c r="P170" s="101">
        <v>3.0715473219490393E-7</v>
      </c>
      <c r="Q170" s="54"/>
      <c r="R170" s="101">
        <v>3.0097461632443347E-6</v>
      </c>
      <c r="S170" s="11"/>
      <c r="T170" s="101">
        <v>3.2367813183836421E-9</v>
      </c>
      <c r="U170" s="54"/>
      <c r="V170" s="101">
        <v>9.4374604477820738E-8</v>
      </c>
      <c r="W170" s="54"/>
    </row>
    <row r="171" spans="2:23" ht="24.9" customHeight="1" x14ac:dyDescent="0.25">
      <c r="B171" s="103" t="s">
        <v>501</v>
      </c>
      <c r="C171" s="33">
        <v>300</v>
      </c>
      <c r="D171" s="101">
        <v>8.4343859262955646E-7</v>
      </c>
      <c r="E171" s="11"/>
      <c r="F171" s="101">
        <v>6.1837518284623954E-6</v>
      </c>
      <c r="G171" s="11"/>
      <c r="H171" s="101">
        <v>5.0841769005277458E-7</v>
      </c>
      <c r="I171" s="54"/>
      <c r="J171" s="101">
        <v>1.9998526974355367E-6</v>
      </c>
      <c r="K171" s="54"/>
      <c r="L171" s="101">
        <v>2.1041987863806896E-8</v>
      </c>
      <c r="M171" s="11"/>
      <c r="N171" s="101">
        <v>2.3068171217385468E-9</v>
      </c>
      <c r="O171" s="54"/>
      <c r="P171" s="101">
        <v>2.4293858785037887E-7</v>
      </c>
      <c r="Q171" s="54"/>
      <c r="R171" s="101">
        <v>2.8348178168100962E-6</v>
      </c>
      <c r="S171" s="11"/>
      <c r="T171" s="101">
        <v>2.7187209273418924E-9</v>
      </c>
      <c r="U171" s="54"/>
      <c r="V171" s="101">
        <v>2.361656757478053E-7</v>
      </c>
      <c r="W171" s="54"/>
    </row>
    <row r="172" spans="2:23" ht="24.9" customHeight="1" x14ac:dyDescent="0.25">
      <c r="B172" s="103" t="s">
        <v>501</v>
      </c>
      <c r="C172" s="33">
        <v>400</v>
      </c>
      <c r="D172" s="101">
        <v>3.2866924036090661E-6</v>
      </c>
      <c r="E172" s="11"/>
      <c r="F172" s="101">
        <v>1.6569933680654164E-5</v>
      </c>
      <c r="G172" s="11"/>
      <c r="H172" s="101">
        <v>7.799148024870962E-7</v>
      </c>
      <c r="I172" s="54"/>
      <c r="J172" s="101">
        <v>1.0919335075502076E-6</v>
      </c>
      <c r="K172" s="54"/>
      <c r="L172" s="101">
        <v>2.8626721630628036E-8</v>
      </c>
      <c r="M172" s="11"/>
      <c r="N172" s="101">
        <v>4.9043833430272504E-10</v>
      </c>
      <c r="O172" s="54"/>
      <c r="P172" s="101">
        <v>3.9512204430083303E-7</v>
      </c>
      <c r="Q172" s="54"/>
      <c r="R172" s="101">
        <v>3.2363606069598197E-6</v>
      </c>
      <c r="S172" s="11"/>
      <c r="T172" s="101">
        <v>7.7886050221485857E-9</v>
      </c>
      <c r="U172" s="54"/>
      <c r="V172" s="101">
        <v>3.5329622665698214E-7</v>
      </c>
      <c r="W172" s="54"/>
    </row>
    <row r="173" spans="2:23" ht="24.9" customHeight="1" x14ac:dyDescent="0.25">
      <c r="B173" s="103" t="s">
        <v>501</v>
      </c>
      <c r="C173" s="33">
        <v>500</v>
      </c>
      <c r="D173" s="101">
        <v>2.0239379417440487E-6</v>
      </c>
      <c r="E173" s="11"/>
      <c r="F173" s="101">
        <v>7.8839282503077404E-6</v>
      </c>
      <c r="G173" s="11"/>
      <c r="H173" s="101">
        <v>2.0565453603428928E-6</v>
      </c>
      <c r="I173" s="54"/>
      <c r="J173" s="101">
        <v>4.8426616136839323E-6</v>
      </c>
      <c r="K173" s="54"/>
      <c r="L173" s="101">
        <v>2.7794149366232981E-8</v>
      </c>
      <c r="M173" s="11"/>
      <c r="N173" s="101">
        <v>4.140576189941396E-10</v>
      </c>
      <c r="O173" s="54"/>
      <c r="P173" s="101">
        <v>2.0330036088776039E-7</v>
      </c>
      <c r="Q173" s="54"/>
      <c r="R173" s="101">
        <v>5.0335791342333494E-6</v>
      </c>
      <c r="S173" s="11"/>
      <c r="T173" s="101">
        <v>3.9314532430403111E-9</v>
      </c>
      <c r="U173" s="54"/>
      <c r="V173" s="101">
        <v>9.8916330204222783E-7</v>
      </c>
      <c r="W173" s="54"/>
    </row>
    <row r="174" spans="2:23" ht="24.9" customHeight="1" x14ac:dyDescent="0.25">
      <c r="B174" s="103"/>
      <c r="C174" s="33"/>
      <c r="D174" s="101"/>
      <c r="E174" s="11"/>
      <c r="F174" s="101"/>
      <c r="G174" s="11"/>
      <c r="H174" s="101"/>
      <c r="I174" s="11"/>
      <c r="J174" s="101"/>
      <c r="K174" s="11"/>
      <c r="L174" s="101"/>
      <c r="M174" s="11"/>
      <c r="N174" s="101"/>
      <c r="O174" s="11"/>
      <c r="P174" s="101"/>
      <c r="Q174" s="11"/>
      <c r="R174" s="101"/>
      <c r="S174" s="11"/>
      <c r="T174" s="101"/>
      <c r="U174" s="11"/>
      <c r="V174" s="101"/>
    </row>
    <row r="175" spans="2:23" ht="24.9" customHeight="1" x14ac:dyDescent="0.25">
      <c r="B175" s="36" t="s">
        <v>412</v>
      </c>
      <c r="C175" s="33">
        <v>100</v>
      </c>
      <c r="D175" s="101">
        <v>6.6996786318030583E-7</v>
      </c>
      <c r="E175" s="54" t="s">
        <v>1908</v>
      </c>
      <c r="F175" s="101">
        <v>1.6511464008233462E-6</v>
      </c>
      <c r="G175" s="11" t="s">
        <v>1807</v>
      </c>
      <c r="H175" s="101">
        <v>1.1169509465226388E-6</v>
      </c>
      <c r="I175" s="54" t="s">
        <v>1807</v>
      </c>
      <c r="J175" s="101">
        <v>3.3633021707329017E-6</v>
      </c>
      <c r="K175" s="54" t="s">
        <v>1908</v>
      </c>
      <c r="L175" s="101">
        <v>4.2338201769121109E-8</v>
      </c>
      <c r="M175" s="54" t="s">
        <v>1807</v>
      </c>
      <c r="N175" s="101">
        <v>4.4060293285460436E-9</v>
      </c>
      <c r="O175" s="54" t="s">
        <v>1908</v>
      </c>
      <c r="P175" s="101">
        <v>8.2886143191626887E-7</v>
      </c>
      <c r="Q175" s="54" t="s">
        <v>1908</v>
      </c>
      <c r="R175" s="101">
        <v>1.0399989865554873E-5</v>
      </c>
      <c r="S175" s="11" t="s">
        <v>1808</v>
      </c>
      <c r="T175" s="101">
        <v>2.9679139566565643E-9</v>
      </c>
      <c r="U175" s="54" t="s">
        <v>1908</v>
      </c>
      <c r="V175" s="101">
        <v>3.9639670996518272E-7</v>
      </c>
      <c r="W175" s="54" t="s">
        <v>1908</v>
      </c>
    </row>
    <row r="176" spans="2:23" ht="24.9" customHeight="1" x14ac:dyDescent="0.25">
      <c r="B176" s="36" t="s">
        <v>412</v>
      </c>
      <c r="C176" s="33">
        <v>200</v>
      </c>
      <c r="D176" s="101">
        <v>2.4966703594122737E-6</v>
      </c>
      <c r="E176" s="54" t="s">
        <v>1807</v>
      </c>
      <c r="F176" s="101">
        <v>4.1481837239837185E-6</v>
      </c>
      <c r="G176" s="11" t="s">
        <v>1808</v>
      </c>
      <c r="H176" s="101">
        <v>4.6376502037034993E-7</v>
      </c>
      <c r="I176" s="54" t="s">
        <v>1807</v>
      </c>
      <c r="J176" s="101">
        <v>1.8030779649152452E-6</v>
      </c>
      <c r="K176" s="54" t="s">
        <v>1908</v>
      </c>
      <c r="L176" s="101">
        <v>6.4344662255262725E-8</v>
      </c>
      <c r="M176" s="11" t="s">
        <v>1808</v>
      </c>
      <c r="N176" s="101">
        <v>3.2654793607052705E-9</v>
      </c>
      <c r="O176" s="54" t="s">
        <v>1908</v>
      </c>
      <c r="P176" s="101">
        <v>2.5165972290833443E-7</v>
      </c>
      <c r="Q176" s="54" t="s">
        <v>1908</v>
      </c>
      <c r="R176" s="101">
        <v>1.4386215884719443E-5</v>
      </c>
      <c r="S176" s="11" t="s">
        <v>1808</v>
      </c>
      <c r="T176" s="101">
        <v>6.7119644723045574E-9</v>
      </c>
      <c r="U176" s="54" t="s">
        <v>1908</v>
      </c>
      <c r="V176" s="101">
        <v>1.4809903881693187E-7</v>
      </c>
      <c r="W176" s="54" t="s">
        <v>1908</v>
      </c>
    </row>
    <row r="177" spans="2:23" ht="24.9" customHeight="1" x14ac:dyDescent="0.25">
      <c r="B177" s="36" t="s">
        <v>412</v>
      </c>
      <c r="C177" s="33">
        <v>300</v>
      </c>
      <c r="D177" s="101">
        <v>4.6284475649788141E-6</v>
      </c>
      <c r="E177" s="11" t="s">
        <v>1808</v>
      </c>
      <c r="F177" s="101">
        <v>7.3822021179615571E-6</v>
      </c>
      <c r="G177" s="11" t="s">
        <v>1808</v>
      </c>
      <c r="H177" s="101">
        <v>1.1376180420270914E-6</v>
      </c>
      <c r="I177" s="54" t="s">
        <v>1807</v>
      </c>
      <c r="J177" s="101">
        <v>1.6381802286186994E-6</v>
      </c>
      <c r="K177" s="54" t="s">
        <v>1908</v>
      </c>
      <c r="L177" s="101">
        <v>6.6061562725840438E-8</v>
      </c>
      <c r="M177" s="11" t="s">
        <v>1808</v>
      </c>
      <c r="N177" s="101">
        <v>1.7486162920419571E-8</v>
      </c>
      <c r="O177" s="54" t="s">
        <v>1807</v>
      </c>
      <c r="P177" s="101">
        <v>1.0585288367952023E-6</v>
      </c>
      <c r="Q177" s="54" t="s">
        <v>1908</v>
      </c>
      <c r="R177" s="101">
        <v>1.5266995313196993E-5</v>
      </c>
      <c r="S177" s="11" t="s">
        <v>1808</v>
      </c>
      <c r="T177" s="101">
        <v>1.9561455256381718E-8</v>
      </c>
      <c r="U177" s="54" t="s">
        <v>1908</v>
      </c>
      <c r="V177" s="101">
        <v>3.5540842328979049E-7</v>
      </c>
      <c r="W177" s="54" t="s">
        <v>1908</v>
      </c>
    </row>
    <row r="178" spans="2:23" ht="24.9" customHeight="1" x14ac:dyDescent="0.25">
      <c r="B178" s="36" t="s">
        <v>412</v>
      </c>
      <c r="C178" s="33">
        <v>400</v>
      </c>
      <c r="D178" s="101">
        <v>6.1562181641373361E-6</v>
      </c>
      <c r="E178" s="11" t="s">
        <v>1808</v>
      </c>
      <c r="F178" s="101">
        <v>8.7012064200912354E-6</v>
      </c>
      <c r="G178" s="11" t="s">
        <v>1808</v>
      </c>
      <c r="H178" s="101">
        <v>7.5989343406634399E-7</v>
      </c>
      <c r="I178" s="54" t="s">
        <v>1807</v>
      </c>
      <c r="J178" s="101">
        <v>2.8218706752072004E-6</v>
      </c>
      <c r="K178" s="54" t="s">
        <v>1908</v>
      </c>
      <c r="L178" s="101">
        <v>5.9754899235034886E-8</v>
      </c>
      <c r="M178" s="54" t="s">
        <v>1807</v>
      </c>
      <c r="N178" s="101">
        <v>4.167487740400211E-9</v>
      </c>
      <c r="O178" s="54" t="s">
        <v>1908</v>
      </c>
      <c r="P178" s="101">
        <v>1.4308995503871885E-6</v>
      </c>
      <c r="Q178" s="54" t="s">
        <v>1908</v>
      </c>
      <c r="R178" s="101">
        <v>1.601198527491583E-5</v>
      </c>
      <c r="S178" s="11" t="s">
        <v>1808</v>
      </c>
      <c r="T178" s="101">
        <v>3.5526796283369004E-9</v>
      </c>
      <c r="U178" s="54" t="s">
        <v>1908</v>
      </c>
      <c r="V178" s="101">
        <v>2.298955561903127E-7</v>
      </c>
      <c r="W178" s="54" t="s">
        <v>1908</v>
      </c>
    </row>
    <row r="179" spans="2:23" ht="24.9" customHeight="1" x14ac:dyDescent="0.25">
      <c r="B179" s="36" t="s">
        <v>412</v>
      </c>
      <c r="C179" s="33">
        <v>500</v>
      </c>
      <c r="D179" s="101">
        <v>7.1779474708131745E-6</v>
      </c>
      <c r="E179" s="11" t="s">
        <v>1808</v>
      </c>
      <c r="F179" s="101">
        <v>1.0526063801200534E-5</v>
      </c>
      <c r="G179" s="11" t="s">
        <v>1808</v>
      </c>
      <c r="H179" s="101">
        <v>1.500251021941306E-6</v>
      </c>
      <c r="I179" s="54" t="s">
        <v>1807</v>
      </c>
      <c r="J179" s="101">
        <v>2.8345196595005846E-6</v>
      </c>
      <c r="K179" s="54" t="s">
        <v>1908</v>
      </c>
      <c r="L179" s="101">
        <v>6.4220778242344456E-8</v>
      </c>
      <c r="M179" s="11" t="s">
        <v>1808</v>
      </c>
      <c r="N179" s="101">
        <v>3.6745485280689263E-9</v>
      </c>
      <c r="O179" s="54" t="s">
        <v>1908</v>
      </c>
      <c r="P179" s="101">
        <v>5.7045285620256101E-7</v>
      </c>
      <c r="Q179" s="54" t="s">
        <v>1908</v>
      </c>
      <c r="R179" s="101">
        <v>1.761273146068826E-5</v>
      </c>
      <c r="S179" s="11" t="s">
        <v>1808</v>
      </c>
      <c r="T179" s="101">
        <v>5.7456733093286302E-9</v>
      </c>
      <c r="U179" s="54" t="s">
        <v>1908</v>
      </c>
      <c r="V179" s="101">
        <v>4.8738152402578155E-7</v>
      </c>
      <c r="W179" s="54" t="s">
        <v>1908</v>
      </c>
    </row>
    <row r="180" spans="2:23" ht="24.9" customHeight="1" x14ac:dyDescent="0.25">
      <c r="B180" s="103" t="s">
        <v>501</v>
      </c>
      <c r="C180" s="33">
        <v>100</v>
      </c>
      <c r="D180" s="101">
        <v>5.1398343026838557E-7</v>
      </c>
      <c r="E180" s="11"/>
      <c r="F180" s="101">
        <v>3.2759531860756599E-7</v>
      </c>
      <c r="G180" s="11"/>
      <c r="H180" s="101">
        <v>9.8113341522683669E-7</v>
      </c>
      <c r="I180" s="54"/>
      <c r="J180" s="101">
        <v>2.0076284402846381E-6</v>
      </c>
      <c r="K180" s="54"/>
      <c r="L180" s="101">
        <v>7.3740580526694424E-9</v>
      </c>
      <c r="M180" s="11"/>
      <c r="N180" s="101">
        <v>3.1106547574906867E-9</v>
      </c>
      <c r="O180" s="54"/>
      <c r="P180" s="101">
        <v>4.7932863379120237E-7</v>
      </c>
      <c r="Q180" s="54"/>
      <c r="R180" s="101">
        <v>4.2419193705910958E-6</v>
      </c>
      <c r="S180" s="11"/>
      <c r="T180" s="101">
        <v>2.7615627006591345E-9</v>
      </c>
      <c r="U180" s="54"/>
      <c r="V180" s="101">
        <v>3.5891583847126772E-7</v>
      </c>
      <c r="W180" s="54"/>
    </row>
    <row r="181" spans="2:23" ht="24.9" customHeight="1" x14ac:dyDescent="0.25">
      <c r="B181" s="103" t="s">
        <v>501</v>
      </c>
      <c r="C181" s="33">
        <v>200</v>
      </c>
      <c r="D181" s="101">
        <v>6.1385371424364784E-7</v>
      </c>
      <c r="E181" s="11"/>
      <c r="F181" s="101">
        <v>7.774736335013744E-7</v>
      </c>
      <c r="G181" s="11"/>
      <c r="H181" s="101">
        <v>1.9269040235175983E-7</v>
      </c>
      <c r="I181" s="54"/>
      <c r="J181" s="101">
        <v>1.2139872711128924E-6</v>
      </c>
      <c r="K181" s="54"/>
      <c r="L181" s="101">
        <v>2.9754304161112298E-8</v>
      </c>
      <c r="M181" s="11"/>
      <c r="N181" s="101">
        <v>2.6435734029087397E-9</v>
      </c>
      <c r="O181" s="54"/>
      <c r="P181" s="101">
        <v>1.7145837010810583E-7</v>
      </c>
      <c r="Q181" s="54"/>
      <c r="R181" s="101">
        <v>9.2825136633492958E-6</v>
      </c>
      <c r="S181" s="11"/>
      <c r="T181" s="101">
        <v>1.1131984296935527E-8</v>
      </c>
      <c r="U181" s="54"/>
      <c r="V181" s="101">
        <v>4.7436787943608214E-8</v>
      </c>
      <c r="W181" s="54"/>
    </row>
    <row r="182" spans="2:23" ht="24.9" customHeight="1" x14ac:dyDescent="0.25">
      <c r="B182" s="103" t="s">
        <v>501</v>
      </c>
      <c r="C182" s="33">
        <v>300</v>
      </c>
      <c r="D182" s="101">
        <v>2.4082937816428807E-6</v>
      </c>
      <c r="E182" s="11"/>
      <c r="F182" s="101">
        <v>2.9464339015347174E-6</v>
      </c>
      <c r="G182" s="11"/>
      <c r="H182" s="101">
        <v>1.8719234426606528E-7</v>
      </c>
      <c r="I182" s="54"/>
      <c r="J182" s="101">
        <v>6.3636544956371873E-7</v>
      </c>
      <c r="K182" s="54"/>
      <c r="L182" s="101">
        <v>1.4311026079353656E-8</v>
      </c>
      <c r="M182" s="11"/>
      <c r="N182" s="101">
        <v>1.2953532832279656E-8</v>
      </c>
      <c r="O182" s="54"/>
      <c r="P182" s="101">
        <v>1.0925835675652777E-6</v>
      </c>
      <c r="Q182" s="54"/>
      <c r="R182" s="101">
        <v>1.106711161066812E-5</v>
      </c>
      <c r="S182" s="11"/>
      <c r="T182" s="101">
        <v>2.9716844169866218E-8</v>
      </c>
      <c r="U182" s="54"/>
      <c r="V182" s="101">
        <v>6.4041353565373046E-8</v>
      </c>
      <c r="W182" s="54"/>
    </row>
    <row r="183" spans="2:23" ht="24.9" customHeight="1" x14ac:dyDescent="0.25">
      <c r="B183" s="103" t="s">
        <v>501</v>
      </c>
      <c r="C183" s="33">
        <v>400</v>
      </c>
      <c r="D183" s="101">
        <v>1.41557186936492E-6</v>
      </c>
      <c r="E183" s="11"/>
      <c r="F183" s="101">
        <v>1.9013218090846505E-6</v>
      </c>
      <c r="G183" s="11"/>
      <c r="H183" s="101">
        <v>1.5045773138478193E-7</v>
      </c>
      <c r="I183" s="54"/>
      <c r="J183" s="101">
        <v>2.1979360089296351E-6</v>
      </c>
      <c r="K183" s="54"/>
      <c r="L183" s="101">
        <v>1.5099891712047968E-8</v>
      </c>
      <c r="M183" s="11"/>
      <c r="N183" s="101">
        <v>3.082761566236712E-9</v>
      </c>
      <c r="O183" s="54"/>
      <c r="P183" s="101">
        <v>1.1724248693059861E-6</v>
      </c>
      <c r="Q183" s="54"/>
      <c r="R183" s="101">
        <v>7.8597919831046238E-6</v>
      </c>
      <c r="S183" s="11"/>
      <c r="T183" s="101">
        <v>3.4415852890578977E-9</v>
      </c>
      <c r="U183" s="54"/>
      <c r="V183" s="101">
        <v>5.8130450943472866E-8</v>
      </c>
      <c r="W183" s="54"/>
    </row>
    <row r="184" spans="2:23" ht="24.9" customHeight="1" x14ac:dyDescent="0.25">
      <c r="B184" s="103" t="s">
        <v>501</v>
      </c>
      <c r="C184" s="33">
        <v>500</v>
      </c>
      <c r="D184" s="101">
        <v>9.2395646382458308E-7</v>
      </c>
      <c r="E184" s="11"/>
      <c r="F184" s="101">
        <v>1.4179803971585181E-6</v>
      </c>
      <c r="G184" s="11"/>
      <c r="H184" s="101">
        <v>1.1441003019611348E-6</v>
      </c>
      <c r="I184" s="54"/>
      <c r="J184" s="101">
        <v>2.0402505293958577E-6</v>
      </c>
      <c r="K184" s="54"/>
      <c r="L184" s="101">
        <v>1.5323788534506133E-8</v>
      </c>
      <c r="M184" s="11"/>
      <c r="N184" s="101">
        <v>3.1698551819432926E-9</v>
      </c>
      <c r="O184" s="54"/>
      <c r="P184" s="101">
        <v>4.4037899259203815E-7</v>
      </c>
      <c r="Q184" s="54"/>
      <c r="R184" s="101">
        <v>8.7660744510115065E-6</v>
      </c>
      <c r="S184" s="11"/>
      <c r="T184" s="101">
        <v>5.0587967942796446E-9</v>
      </c>
      <c r="U184" s="54"/>
      <c r="V184" s="101">
        <v>5.0293918921263804E-7</v>
      </c>
      <c r="W184" s="54"/>
    </row>
    <row r="185" spans="2:23" ht="24.9" customHeight="1" x14ac:dyDescent="0.25">
      <c r="B185" s="103"/>
      <c r="C185" s="33"/>
      <c r="D185" s="101"/>
      <c r="E185" s="11"/>
      <c r="F185" s="101"/>
      <c r="G185" s="11"/>
      <c r="H185" s="101"/>
      <c r="I185" s="11"/>
      <c r="J185" s="101"/>
      <c r="K185" s="11"/>
      <c r="L185" s="101"/>
      <c r="M185" s="11"/>
      <c r="N185" s="101"/>
      <c r="O185" s="11"/>
      <c r="P185" s="101"/>
      <c r="Q185" s="11"/>
      <c r="R185" s="101"/>
      <c r="S185" s="11"/>
      <c r="T185" s="101"/>
      <c r="U185" s="11"/>
      <c r="V185" s="101"/>
    </row>
    <row r="186" spans="2:23" ht="24.9" customHeight="1" x14ac:dyDescent="0.25">
      <c r="B186" s="36" t="s">
        <v>1031</v>
      </c>
      <c r="C186" s="33">
        <v>100</v>
      </c>
      <c r="D186" s="101">
        <v>6.1585004784293708E-7</v>
      </c>
      <c r="E186" s="54" t="s">
        <v>1908</v>
      </c>
      <c r="F186" s="101">
        <v>4.3683554831593658E-6</v>
      </c>
      <c r="G186" s="11" t="s">
        <v>1808</v>
      </c>
      <c r="H186" s="101">
        <v>2.1118225582573237E-6</v>
      </c>
      <c r="I186" s="54" t="s">
        <v>1807</v>
      </c>
      <c r="J186" s="101">
        <v>5.6072742943028293E-6</v>
      </c>
      <c r="K186" s="54" t="s">
        <v>1807</v>
      </c>
      <c r="L186" s="101">
        <v>7.7885237957956767E-8</v>
      </c>
      <c r="M186" s="11" t="s">
        <v>1808</v>
      </c>
      <c r="N186" s="101">
        <v>2.3197587863773714E-8</v>
      </c>
      <c r="O186" s="11" t="s">
        <v>1808</v>
      </c>
      <c r="P186" s="101">
        <v>6.7955378466226444E-7</v>
      </c>
      <c r="Q186" s="54" t="s">
        <v>1908</v>
      </c>
      <c r="R186" s="101">
        <v>1.2262824453942545E-5</v>
      </c>
      <c r="S186" s="11" t="s">
        <v>1808</v>
      </c>
      <c r="T186" s="101">
        <v>2.0705314105794915E-8</v>
      </c>
      <c r="U186" s="54" t="s">
        <v>1908</v>
      </c>
      <c r="V186" s="101">
        <v>7.9775619587652984E-7</v>
      </c>
      <c r="W186" s="54" t="s">
        <v>1807</v>
      </c>
    </row>
    <row r="187" spans="2:23" ht="24.9" customHeight="1" x14ac:dyDescent="0.25">
      <c r="B187" s="36" t="s">
        <v>1031</v>
      </c>
      <c r="C187" s="33">
        <v>200</v>
      </c>
      <c r="D187" s="101">
        <v>1.0209653412330893E-6</v>
      </c>
      <c r="E187" s="54" t="s">
        <v>1908</v>
      </c>
      <c r="F187" s="101">
        <v>1.8432042125773097E-6</v>
      </c>
      <c r="G187" s="11" t="s">
        <v>1808</v>
      </c>
      <c r="H187" s="101">
        <v>3.3235270548841746E-6</v>
      </c>
      <c r="I187" s="54" t="s">
        <v>1807</v>
      </c>
      <c r="J187" s="101">
        <v>5.2851296291600073E-6</v>
      </c>
      <c r="K187" s="54" t="s">
        <v>1807</v>
      </c>
      <c r="L187" s="101">
        <v>6.3786433975938903E-8</v>
      </c>
      <c r="M187" s="11" t="s">
        <v>1808</v>
      </c>
      <c r="N187" s="101">
        <v>1.5108528815600254E-8</v>
      </c>
      <c r="O187" s="54" t="s">
        <v>1807</v>
      </c>
      <c r="P187" s="101">
        <v>3.8227651708013649E-7</v>
      </c>
      <c r="Q187" s="54" t="s">
        <v>1908</v>
      </c>
      <c r="R187" s="101">
        <v>1.5928091135368092E-5</v>
      </c>
      <c r="S187" s="11" t="s">
        <v>1808</v>
      </c>
      <c r="T187" s="101">
        <v>2.6941437567599846E-9</v>
      </c>
      <c r="U187" s="54" t="s">
        <v>1908</v>
      </c>
      <c r="V187" s="101">
        <v>1.2617413475791373E-6</v>
      </c>
      <c r="W187" s="54" t="s">
        <v>1807</v>
      </c>
    </row>
    <row r="188" spans="2:23" ht="24.9" customHeight="1" x14ac:dyDescent="0.25">
      <c r="B188" s="36" t="s">
        <v>1031</v>
      </c>
      <c r="C188" s="33">
        <v>300</v>
      </c>
      <c r="D188" s="101">
        <v>1.7021304568779153E-6</v>
      </c>
      <c r="E188" s="54" t="s">
        <v>1807</v>
      </c>
      <c r="F188" s="101">
        <v>2.7873350788624002E-6</v>
      </c>
      <c r="G188" s="11" t="s">
        <v>1808</v>
      </c>
      <c r="H188" s="101">
        <v>2.3042135926701497E-6</v>
      </c>
      <c r="I188" s="54" t="s">
        <v>1807</v>
      </c>
      <c r="J188" s="101">
        <v>4.3622011031728191E-6</v>
      </c>
      <c r="K188" s="54" t="s">
        <v>1908</v>
      </c>
      <c r="L188" s="101">
        <v>8.4942738105626766E-8</v>
      </c>
      <c r="M188" s="11" t="s">
        <v>1808</v>
      </c>
      <c r="N188" s="101">
        <v>2.0547126632761771E-8</v>
      </c>
      <c r="O188" s="54" t="s">
        <v>1807</v>
      </c>
      <c r="P188" s="101">
        <v>6.0700244308664887E-7</v>
      </c>
      <c r="Q188" s="54" t="s">
        <v>1908</v>
      </c>
      <c r="R188" s="101">
        <v>1.8483615817783204E-5</v>
      </c>
      <c r="S188" s="11" t="s">
        <v>1808</v>
      </c>
      <c r="T188" s="101">
        <v>8.0866623258481598E-9</v>
      </c>
      <c r="U188" s="54" t="s">
        <v>1908</v>
      </c>
      <c r="V188" s="101">
        <v>6.8513158994797602E-7</v>
      </c>
      <c r="W188" s="54" t="s">
        <v>1908</v>
      </c>
    </row>
    <row r="189" spans="2:23" ht="24.9" customHeight="1" x14ac:dyDescent="0.25">
      <c r="B189" s="36" t="s">
        <v>1031</v>
      </c>
      <c r="C189" s="33">
        <v>400</v>
      </c>
      <c r="D189" s="101">
        <v>1.1290001229255689E-6</v>
      </c>
      <c r="E189" s="54" t="s">
        <v>1807</v>
      </c>
      <c r="F189" s="101">
        <v>2.5757690683186584E-6</v>
      </c>
      <c r="G189" s="11" t="s">
        <v>1808</v>
      </c>
      <c r="H189" s="101">
        <v>9.286223247336583E-7</v>
      </c>
      <c r="I189" s="54" t="s">
        <v>1807</v>
      </c>
      <c r="J189" s="101">
        <v>2.5589403952104757E-6</v>
      </c>
      <c r="K189" s="54" t="s">
        <v>1908</v>
      </c>
      <c r="L189" s="101">
        <v>7.5418391320831632E-8</v>
      </c>
      <c r="M189" s="11" t="s">
        <v>1808</v>
      </c>
      <c r="N189" s="101">
        <v>2.024524008362619E-8</v>
      </c>
      <c r="O189" s="54" t="s">
        <v>1807</v>
      </c>
      <c r="P189" s="101">
        <v>7.0787514622284196E-7</v>
      </c>
      <c r="Q189" s="54" t="s">
        <v>1908</v>
      </c>
      <c r="R189" s="101">
        <v>1.8120545366606204E-5</v>
      </c>
      <c r="S189" s="11" t="s">
        <v>1808</v>
      </c>
      <c r="T189" s="101">
        <v>1.5798113945992607E-8</v>
      </c>
      <c r="U189" s="54" t="s">
        <v>1908</v>
      </c>
      <c r="V189" s="101">
        <v>3.8348914213554312E-7</v>
      </c>
      <c r="W189" s="54" t="s">
        <v>1908</v>
      </c>
    </row>
    <row r="190" spans="2:23" ht="24.9" customHeight="1" x14ac:dyDescent="0.25">
      <c r="B190" s="36" t="s">
        <v>1031</v>
      </c>
      <c r="C190" s="33">
        <v>500</v>
      </c>
      <c r="D190" s="101">
        <v>1.503246228415836E-6</v>
      </c>
      <c r="E190" s="54" t="s">
        <v>1807</v>
      </c>
      <c r="F190" s="101">
        <v>3.3844866279366522E-6</v>
      </c>
      <c r="G190" s="11" t="s">
        <v>1808</v>
      </c>
      <c r="H190" s="101">
        <v>2.6940627625213801E-6</v>
      </c>
      <c r="I190" s="54" t="s">
        <v>1807</v>
      </c>
      <c r="J190" s="101">
        <v>6.613641775544168E-6</v>
      </c>
      <c r="K190" s="54" t="s">
        <v>1807</v>
      </c>
      <c r="L190" s="101">
        <v>8.5282492220640655E-8</v>
      </c>
      <c r="M190" s="11" t="s">
        <v>1808</v>
      </c>
      <c r="N190" s="101">
        <v>1.8938792023490472E-8</v>
      </c>
      <c r="O190" s="54" t="s">
        <v>1807</v>
      </c>
      <c r="P190" s="101">
        <v>8.1504349026227553E-7</v>
      </c>
      <c r="Q190" s="54" t="s">
        <v>1908</v>
      </c>
      <c r="R190" s="101">
        <v>2.0172971638186568E-5</v>
      </c>
      <c r="S190" s="11" t="s">
        <v>1808</v>
      </c>
      <c r="T190" s="101">
        <v>6.1391881348708649E-9</v>
      </c>
      <c r="U190" s="54" t="s">
        <v>1908</v>
      </c>
      <c r="V190" s="101">
        <v>1.1395927764933002E-6</v>
      </c>
      <c r="W190" s="54" t="s">
        <v>1807</v>
      </c>
    </row>
    <row r="191" spans="2:23" ht="24.9" customHeight="1" x14ac:dyDescent="0.25">
      <c r="B191" s="103" t="s">
        <v>501</v>
      </c>
      <c r="C191" s="33">
        <v>100</v>
      </c>
      <c r="D191" s="101">
        <v>1.4152063580545195E-7</v>
      </c>
      <c r="E191" s="54"/>
      <c r="F191" s="101">
        <v>1.9474157600123893E-6</v>
      </c>
      <c r="G191" s="11"/>
      <c r="H191" s="101">
        <v>2.6154630492882812E-6</v>
      </c>
      <c r="I191" s="54"/>
      <c r="J191" s="101">
        <v>1.9844515684553178E-6</v>
      </c>
      <c r="K191" s="54"/>
      <c r="L191" s="101">
        <v>1.496970966334039E-8</v>
      </c>
      <c r="M191" s="11"/>
      <c r="N191" s="101">
        <v>1.3994077820837969E-8</v>
      </c>
      <c r="O191" s="54"/>
      <c r="P191" s="101">
        <v>7.9501106185224358E-7</v>
      </c>
      <c r="Q191" s="54"/>
      <c r="R191" s="101">
        <v>6.3942338014912112E-6</v>
      </c>
      <c r="S191" s="11"/>
      <c r="T191" s="101">
        <v>3.2464635828409002E-8</v>
      </c>
      <c r="U191" s="54"/>
      <c r="V191" s="101">
        <v>9.9051751617674348E-7</v>
      </c>
      <c r="W191" s="54"/>
    </row>
    <row r="192" spans="2:23" ht="24.9" customHeight="1" x14ac:dyDescent="0.25">
      <c r="B192" s="103" t="s">
        <v>501</v>
      </c>
      <c r="C192" s="33">
        <v>200</v>
      </c>
      <c r="D192" s="101">
        <v>4.3230540515738856E-7</v>
      </c>
      <c r="E192" s="54"/>
      <c r="F192" s="101">
        <v>7.560977402479148E-7</v>
      </c>
      <c r="G192" s="11"/>
      <c r="H192" s="101">
        <v>4.0768884958260894E-6</v>
      </c>
      <c r="I192" s="54"/>
      <c r="J192" s="101">
        <v>4.647462232537568E-6</v>
      </c>
      <c r="K192" s="54"/>
      <c r="L192" s="101">
        <v>1.0647854365273168E-8</v>
      </c>
      <c r="M192" s="11"/>
      <c r="N192" s="101">
        <v>1.0678209203899704E-8</v>
      </c>
      <c r="O192" s="54"/>
      <c r="P192" s="101">
        <v>4.0247990590645545E-7</v>
      </c>
      <c r="Q192" s="54"/>
      <c r="R192" s="101">
        <v>5.5760983548035366E-6</v>
      </c>
      <c r="S192" s="11"/>
      <c r="T192" s="101">
        <v>2.3661170089330282E-9</v>
      </c>
      <c r="U192" s="54"/>
      <c r="V192" s="101">
        <v>1.463193126421976E-6</v>
      </c>
      <c r="W192" s="54"/>
    </row>
    <row r="193" spans="2:23" ht="24.9" customHeight="1" x14ac:dyDescent="0.25">
      <c r="B193" s="103" t="s">
        <v>501</v>
      </c>
      <c r="C193" s="33">
        <v>300</v>
      </c>
      <c r="D193" s="101">
        <v>1.1156179313246786E-6</v>
      </c>
      <c r="E193" s="54"/>
      <c r="F193" s="101">
        <v>1.2252193897212452E-6</v>
      </c>
      <c r="G193" s="11"/>
      <c r="H193" s="101">
        <v>2.9133645124455922E-7</v>
      </c>
      <c r="I193" s="54"/>
      <c r="J193" s="101">
        <v>2.2195791432133295E-7</v>
      </c>
      <c r="K193" s="54"/>
      <c r="L193" s="101">
        <v>2.2829805453363632E-8</v>
      </c>
      <c r="M193" s="11"/>
      <c r="N193" s="101">
        <v>4.6933862801604611E-9</v>
      </c>
      <c r="O193" s="54"/>
      <c r="P193" s="101">
        <v>3.6525821021232913E-7</v>
      </c>
      <c r="Q193" s="54"/>
      <c r="R193" s="101">
        <v>5.2392444880341864E-6</v>
      </c>
      <c r="S193" s="11"/>
      <c r="T193" s="101">
        <v>1.0336199191610656E-8</v>
      </c>
      <c r="U193" s="54"/>
      <c r="V193" s="101">
        <v>2.2946840997304654E-7</v>
      </c>
      <c r="W193" s="54"/>
    </row>
    <row r="194" spans="2:23" ht="24.9" customHeight="1" x14ac:dyDescent="0.25">
      <c r="B194" s="103" t="s">
        <v>501</v>
      </c>
      <c r="C194" s="33">
        <v>400</v>
      </c>
      <c r="D194" s="101">
        <v>7.6883933642404928E-7</v>
      </c>
      <c r="E194" s="54"/>
      <c r="F194" s="101">
        <v>1.3859561246438692E-6</v>
      </c>
      <c r="G194" s="11"/>
      <c r="H194" s="101">
        <v>5.9626848285716804E-7</v>
      </c>
      <c r="I194" s="54"/>
      <c r="J194" s="101">
        <v>1.0297623443799691E-6</v>
      </c>
      <c r="K194" s="54"/>
      <c r="L194" s="101">
        <v>2.6466630203107939E-8</v>
      </c>
      <c r="M194" s="11"/>
      <c r="N194" s="101">
        <v>1.4016222082241024E-8</v>
      </c>
      <c r="O194" s="54"/>
      <c r="P194" s="101">
        <v>1.1860835831250873E-6</v>
      </c>
      <c r="Q194" s="54"/>
      <c r="R194" s="101">
        <v>2.9817719714214006E-6</v>
      </c>
      <c r="S194" s="11"/>
      <c r="T194" s="101">
        <v>2.4081579545332998E-8</v>
      </c>
      <c r="U194" s="54"/>
      <c r="V194" s="101">
        <v>5.4233554583090857E-7</v>
      </c>
      <c r="W194" s="54"/>
    </row>
    <row r="195" spans="2:23" ht="24.9" customHeight="1" x14ac:dyDescent="0.25">
      <c r="B195" s="103" t="s">
        <v>501</v>
      </c>
      <c r="C195" s="33">
        <v>500</v>
      </c>
      <c r="D195" s="101">
        <v>7.107085691993728E-7</v>
      </c>
      <c r="E195" s="54"/>
      <c r="F195" s="101">
        <v>1.4503174935772252E-6</v>
      </c>
      <c r="G195" s="11"/>
      <c r="H195" s="101">
        <v>2.028013506636657E-6</v>
      </c>
      <c r="I195" s="54"/>
      <c r="J195" s="101">
        <v>2.6264907257314395E-6</v>
      </c>
      <c r="K195" s="54"/>
      <c r="L195" s="101">
        <v>3.2381126860794597E-8</v>
      </c>
      <c r="M195" s="11"/>
      <c r="N195" s="101">
        <v>1.3721053920591502E-8</v>
      </c>
      <c r="O195" s="54"/>
      <c r="P195" s="101">
        <v>1.1556233988959632E-6</v>
      </c>
      <c r="Q195" s="54"/>
      <c r="R195" s="101">
        <v>5.8548173150935163E-6</v>
      </c>
      <c r="S195" s="11"/>
      <c r="T195" s="101">
        <v>5.4738489594384523E-9</v>
      </c>
      <c r="U195" s="54"/>
      <c r="V195" s="101">
        <v>9.8705170363529554E-7</v>
      </c>
      <c r="W195" s="54"/>
    </row>
    <row r="196" spans="2:23" ht="24.9" customHeight="1" x14ac:dyDescent="0.25">
      <c r="B196" s="103"/>
      <c r="C196" s="33"/>
      <c r="D196" s="101"/>
      <c r="E196" s="11"/>
      <c r="F196" s="101"/>
      <c r="G196" s="11"/>
      <c r="H196" s="101"/>
      <c r="I196" s="11"/>
      <c r="J196" s="101"/>
      <c r="K196" s="11"/>
      <c r="L196" s="101"/>
      <c r="M196" s="11"/>
      <c r="N196" s="101"/>
      <c r="O196" s="11"/>
      <c r="P196" s="101"/>
      <c r="Q196" s="11"/>
      <c r="R196" s="101"/>
      <c r="S196" s="11"/>
      <c r="T196" s="101"/>
      <c r="U196" s="11"/>
      <c r="V196" s="101"/>
    </row>
    <row r="197" spans="2:23" ht="24.9" customHeight="1" x14ac:dyDescent="0.25">
      <c r="B197" s="36" t="s">
        <v>49</v>
      </c>
      <c r="C197" s="33">
        <v>100</v>
      </c>
      <c r="D197" s="101">
        <v>1.4409367318835305E-7</v>
      </c>
      <c r="E197" s="54" t="s">
        <v>1908</v>
      </c>
      <c r="F197" s="101">
        <v>9.0160615590174326E-5</v>
      </c>
      <c r="G197" s="11" t="s">
        <v>1808</v>
      </c>
      <c r="H197" s="101">
        <v>4.2517207976263327E-4</v>
      </c>
      <c r="I197" s="11"/>
      <c r="J197" s="101">
        <v>1.1242945169975358E-3</v>
      </c>
      <c r="K197" s="11" t="s">
        <v>1808</v>
      </c>
      <c r="L197" s="101">
        <v>1.5881257089388431E-7</v>
      </c>
      <c r="M197" s="11" t="s">
        <v>1808</v>
      </c>
      <c r="N197" s="101">
        <v>1.0495477645976638E-7</v>
      </c>
      <c r="O197" s="11" t="s">
        <v>1808</v>
      </c>
      <c r="P197" s="101">
        <v>1.7413837363181853E-5</v>
      </c>
      <c r="Q197" s="11" t="s">
        <v>1808</v>
      </c>
      <c r="R197" s="101">
        <v>6.8042063822050689E-6</v>
      </c>
      <c r="S197" s="11" t="s">
        <v>1808</v>
      </c>
      <c r="T197" s="101">
        <v>3.8941751831258295E-6</v>
      </c>
      <c r="U197" s="11" t="s">
        <v>1808</v>
      </c>
      <c r="V197" s="101">
        <v>3.1849293742275533E-4</v>
      </c>
      <c r="W197" s="10" t="s">
        <v>1808</v>
      </c>
    </row>
    <row r="198" spans="2:23" ht="24.9" customHeight="1" x14ac:dyDescent="0.25">
      <c r="B198" s="36" t="s">
        <v>49</v>
      </c>
      <c r="C198" s="33">
        <v>200</v>
      </c>
      <c r="D198" s="101">
        <v>1.7882748664953893E-6</v>
      </c>
      <c r="E198" s="54" t="s">
        <v>1908</v>
      </c>
      <c r="F198" s="101">
        <v>1.5847303605129637E-4</v>
      </c>
      <c r="G198" s="11" t="s">
        <v>1808</v>
      </c>
      <c r="H198" s="101">
        <v>5.6899467392299734E-4</v>
      </c>
      <c r="I198" s="11"/>
      <c r="J198" s="101">
        <v>1.7740300166295289E-3</v>
      </c>
      <c r="K198" s="11" t="s">
        <v>1808</v>
      </c>
      <c r="L198" s="101">
        <v>2.0111731398953447E-7</v>
      </c>
      <c r="M198" s="11" t="s">
        <v>1808</v>
      </c>
      <c r="N198" s="101">
        <v>1.7909106094898965E-7</v>
      </c>
      <c r="O198" s="11" t="s">
        <v>1808</v>
      </c>
      <c r="P198" s="101">
        <v>2.3843181776445328E-5</v>
      </c>
      <c r="Q198" s="11" t="s">
        <v>1808</v>
      </c>
      <c r="R198" s="101">
        <v>1.2235384251263023E-5</v>
      </c>
      <c r="S198" s="11" t="s">
        <v>1808</v>
      </c>
      <c r="T198" s="101">
        <v>3.9948892042611046E-6</v>
      </c>
      <c r="U198" s="11" t="s">
        <v>1808</v>
      </c>
      <c r="V198" s="101">
        <v>5.3087002819199953E-4</v>
      </c>
      <c r="W198" s="10" t="s">
        <v>1808</v>
      </c>
    </row>
    <row r="199" spans="2:23" ht="24.9" customHeight="1" x14ac:dyDescent="0.25">
      <c r="B199" s="36" t="s">
        <v>49</v>
      </c>
      <c r="C199" s="33">
        <v>300</v>
      </c>
      <c r="D199" s="101">
        <v>1.8534103930339228E-6</v>
      </c>
      <c r="E199" s="54" t="s">
        <v>1807</v>
      </c>
      <c r="F199" s="101">
        <v>6.2795581649919958E-5</v>
      </c>
      <c r="G199" s="11" t="s">
        <v>1808</v>
      </c>
      <c r="H199" s="101">
        <v>2.7243167972414406E-4</v>
      </c>
      <c r="I199" s="11"/>
      <c r="J199" s="101">
        <v>7.2899532593611281E-4</v>
      </c>
      <c r="K199" s="11" t="s">
        <v>1808</v>
      </c>
      <c r="L199" s="101">
        <v>2.0182106150402674E-7</v>
      </c>
      <c r="M199" s="11" t="s">
        <v>1808</v>
      </c>
      <c r="N199" s="101">
        <v>1.2635512614643588E-7</v>
      </c>
      <c r="O199" s="11" t="s">
        <v>1808</v>
      </c>
      <c r="P199" s="101">
        <v>8.1434513032268127E-6</v>
      </c>
      <c r="Q199" s="11" t="s">
        <v>1808</v>
      </c>
      <c r="R199" s="101">
        <v>8.6129051522179994E-6</v>
      </c>
      <c r="S199" s="11" t="s">
        <v>1808</v>
      </c>
      <c r="T199" s="101">
        <v>1.3744310869538203E-6</v>
      </c>
      <c r="U199" s="11" t="s">
        <v>1808</v>
      </c>
      <c r="V199" s="101">
        <v>1.8550572617334824E-4</v>
      </c>
      <c r="W199" s="10" t="s">
        <v>1808</v>
      </c>
    </row>
    <row r="200" spans="2:23" ht="24.9" customHeight="1" x14ac:dyDescent="0.25">
      <c r="B200" s="36" t="s">
        <v>49</v>
      </c>
      <c r="C200" s="33">
        <v>400</v>
      </c>
      <c r="D200" s="101">
        <v>6.0663182196943139E-7</v>
      </c>
      <c r="E200" s="54" t="s">
        <v>1807</v>
      </c>
      <c r="F200" s="101">
        <v>1.632798584989153E-5</v>
      </c>
      <c r="G200" s="11" t="s">
        <v>1808</v>
      </c>
      <c r="H200" s="101">
        <v>5.3744777174108596E-5</v>
      </c>
      <c r="I200" s="11"/>
      <c r="J200" s="101">
        <v>2.0265134214962976E-4</v>
      </c>
      <c r="K200" s="11" t="s">
        <v>1808</v>
      </c>
      <c r="L200" s="101">
        <v>1.2993381384999697E-7</v>
      </c>
      <c r="M200" s="11" t="s">
        <v>1808</v>
      </c>
      <c r="N200" s="101">
        <v>6.0340080109364654E-8</v>
      </c>
      <c r="O200" s="54" t="s">
        <v>1808</v>
      </c>
      <c r="P200" s="101">
        <v>2.267922840479824E-6</v>
      </c>
      <c r="Q200" s="54" t="s">
        <v>1807</v>
      </c>
      <c r="R200" s="101">
        <v>4.9661557096769675E-6</v>
      </c>
      <c r="S200" s="11" t="s">
        <v>1808</v>
      </c>
      <c r="T200" s="101">
        <v>1.1420582852780555E-6</v>
      </c>
      <c r="U200" s="11" t="s">
        <v>1808</v>
      </c>
      <c r="V200" s="101">
        <v>9.8597107731744551E-5</v>
      </c>
      <c r="W200" s="10" t="s">
        <v>1808</v>
      </c>
    </row>
    <row r="201" spans="2:23" ht="24.9" customHeight="1" x14ac:dyDescent="0.25">
      <c r="B201" s="36" t="s">
        <v>49</v>
      </c>
      <c r="C201" s="33">
        <v>500</v>
      </c>
      <c r="D201" s="101">
        <v>1.7344786214330962E-7</v>
      </c>
      <c r="E201" s="54" t="s">
        <v>1908</v>
      </c>
      <c r="F201" s="101">
        <v>5.2867955103796943E-6</v>
      </c>
      <c r="G201" s="11" t="s">
        <v>1808</v>
      </c>
      <c r="H201" s="101">
        <v>1.1721187179504174E-5</v>
      </c>
      <c r="I201" s="11"/>
      <c r="J201" s="101">
        <v>2.5555079746147736E-5</v>
      </c>
      <c r="K201" s="11" t="s">
        <v>1808</v>
      </c>
      <c r="L201" s="101">
        <v>5.9429387414557773E-8</v>
      </c>
      <c r="M201" s="11" t="s">
        <v>1808</v>
      </c>
      <c r="N201" s="101">
        <v>8.6077218046996191E-9</v>
      </c>
      <c r="O201" s="54" t="s">
        <v>1807</v>
      </c>
      <c r="P201" s="101">
        <v>1.0482527391830637E-6</v>
      </c>
      <c r="Q201" s="54" t="s">
        <v>1908</v>
      </c>
      <c r="R201" s="101">
        <v>2.2082273511275527E-6</v>
      </c>
      <c r="S201" s="11" t="s">
        <v>1808</v>
      </c>
      <c r="T201" s="101">
        <v>9.1042803593221818E-8</v>
      </c>
      <c r="U201" s="11" t="s">
        <v>1808</v>
      </c>
      <c r="V201" s="101">
        <v>1.1974942032511538E-5</v>
      </c>
      <c r="W201" s="10" t="s">
        <v>1808</v>
      </c>
    </row>
    <row r="202" spans="2:23" ht="24.9" customHeight="1" x14ac:dyDescent="0.25">
      <c r="B202" s="103" t="s">
        <v>501</v>
      </c>
      <c r="C202" s="33">
        <v>100</v>
      </c>
      <c r="D202" s="101">
        <v>1.2351214346296345E-7</v>
      </c>
      <c r="E202" s="54"/>
      <c r="F202" s="101">
        <v>4.8210668441961363E-5</v>
      </c>
      <c r="G202" s="11"/>
      <c r="H202" s="101">
        <v>2.960713247503306E-4</v>
      </c>
      <c r="I202" s="11"/>
      <c r="J202" s="101">
        <v>5.0971487408181971E-4</v>
      </c>
      <c r="K202" s="11"/>
      <c r="L202" s="101">
        <v>2.9142373388667209E-8</v>
      </c>
      <c r="M202" s="11"/>
      <c r="N202" s="101">
        <v>5.5495717552020598E-8</v>
      </c>
      <c r="O202" s="54"/>
      <c r="P202" s="101">
        <v>5.972701413590982E-6</v>
      </c>
      <c r="Q202" s="54"/>
      <c r="R202" s="101">
        <v>3.3113202119428515E-6</v>
      </c>
      <c r="S202" s="11"/>
      <c r="T202" s="101">
        <v>2.3593915214289174E-6</v>
      </c>
      <c r="U202" s="11"/>
      <c r="V202" s="101">
        <v>1.4863699110144379E-4</v>
      </c>
    </row>
    <row r="203" spans="2:23" ht="24.9" customHeight="1" x14ac:dyDescent="0.25">
      <c r="B203" s="103" t="s">
        <v>501</v>
      </c>
      <c r="C203" s="33">
        <v>200</v>
      </c>
      <c r="D203" s="101">
        <v>1.0027203028874727E-6</v>
      </c>
      <c r="E203" s="54"/>
      <c r="F203" s="101">
        <v>1.7025987863038508E-4</v>
      </c>
      <c r="G203" s="11"/>
      <c r="H203" s="101">
        <v>3.5190301102233786E-4</v>
      </c>
      <c r="I203" s="11"/>
      <c r="J203" s="101">
        <v>8.7512636625690712E-4</v>
      </c>
      <c r="K203" s="11"/>
      <c r="L203" s="101">
        <v>6.2936369116889108E-8</v>
      </c>
      <c r="M203" s="11"/>
      <c r="N203" s="101">
        <v>1.4465868880145755E-7</v>
      </c>
      <c r="O203" s="54"/>
      <c r="P203" s="101">
        <v>1.4525012991573712E-5</v>
      </c>
      <c r="Q203" s="54"/>
      <c r="R203" s="101">
        <v>6.8965400365252882E-6</v>
      </c>
      <c r="S203" s="11"/>
      <c r="T203" s="101">
        <v>2.9035177140939621E-6</v>
      </c>
      <c r="U203" s="11"/>
      <c r="V203" s="101">
        <v>3.07488850189927E-4</v>
      </c>
    </row>
    <row r="204" spans="2:23" ht="24.9" customHeight="1" x14ac:dyDescent="0.25">
      <c r="B204" s="103" t="s">
        <v>501</v>
      </c>
      <c r="C204" s="33">
        <v>300</v>
      </c>
      <c r="D204" s="101">
        <v>1.1356711941561553E-6</v>
      </c>
      <c r="E204" s="54"/>
      <c r="F204" s="101">
        <v>7.4536862839034412E-5</v>
      </c>
      <c r="G204" s="11"/>
      <c r="H204" s="101">
        <v>6.4621849328292162E-5</v>
      </c>
      <c r="I204" s="11"/>
      <c r="J204" s="101">
        <v>1.4120372469166996E-4</v>
      </c>
      <c r="K204" s="11"/>
      <c r="L204" s="101">
        <v>7.4821894463963864E-8</v>
      </c>
      <c r="M204" s="11"/>
      <c r="N204" s="101">
        <v>1.3975085876800862E-7</v>
      </c>
      <c r="O204" s="54"/>
      <c r="P204" s="101">
        <v>4.777949514116923E-6</v>
      </c>
      <c r="Q204" s="54"/>
      <c r="R204" s="101">
        <v>3.9758889807261204E-6</v>
      </c>
      <c r="S204" s="11"/>
      <c r="T204" s="101">
        <v>9.8621666923610915E-7</v>
      </c>
      <c r="U204" s="11"/>
      <c r="V204" s="101">
        <v>1.2379654452914158E-4</v>
      </c>
    </row>
    <row r="205" spans="2:23" ht="24.9" customHeight="1" x14ac:dyDescent="0.25">
      <c r="B205" s="103" t="s">
        <v>501</v>
      </c>
      <c r="C205" s="33">
        <v>400</v>
      </c>
      <c r="D205" s="101">
        <v>9.5399800088411334E-7</v>
      </c>
      <c r="E205" s="54"/>
      <c r="F205" s="101">
        <v>2.3524480987160179E-5</v>
      </c>
      <c r="G205" s="11"/>
      <c r="H205" s="101">
        <v>6.2507278724928151E-5</v>
      </c>
      <c r="I205" s="11"/>
      <c r="J205" s="101">
        <v>3.4531004303838785E-5</v>
      </c>
      <c r="K205" s="11"/>
      <c r="L205" s="101">
        <v>7.0483416968577381E-8</v>
      </c>
      <c r="M205" s="11"/>
      <c r="N205" s="101">
        <v>7.4186628825989633E-8</v>
      </c>
      <c r="O205" s="54"/>
      <c r="P205" s="101">
        <v>1.6803348436153289E-6</v>
      </c>
      <c r="Q205" s="54"/>
      <c r="R205" s="101">
        <v>4.0607008399860176E-6</v>
      </c>
      <c r="S205" s="11"/>
      <c r="T205" s="101">
        <v>1.5642528393781991E-6</v>
      </c>
      <c r="U205" s="11"/>
      <c r="V205" s="101">
        <v>9.7288193324487828E-5</v>
      </c>
    </row>
    <row r="206" spans="2:23" ht="24.9" customHeight="1" x14ac:dyDescent="0.25">
      <c r="B206" s="103" t="s">
        <v>501</v>
      </c>
      <c r="C206" s="33">
        <v>500</v>
      </c>
      <c r="D206" s="101">
        <v>3.0042050969641475E-7</v>
      </c>
      <c r="E206" s="54"/>
      <c r="F206" s="101">
        <v>8.6738870812841238E-6</v>
      </c>
      <c r="G206" s="11"/>
      <c r="H206" s="101">
        <v>1.8000794084591862E-5</v>
      </c>
      <c r="I206" s="11"/>
      <c r="J206" s="101">
        <v>2.6924011271914915E-5</v>
      </c>
      <c r="K206" s="11"/>
      <c r="L206" s="101">
        <v>6.8348890186907346E-8</v>
      </c>
      <c r="M206" s="11"/>
      <c r="N206" s="101">
        <v>6.0766922619595799E-9</v>
      </c>
      <c r="O206" s="54"/>
      <c r="P206" s="101">
        <v>9.3338366697476675E-7</v>
      </c>
      <c r="Q206" s="54"/>
      <c r="R206" s="101">
        <v>2.8168069214730919E-6</v>
      </c>
      <c r="S206" s="11"/>
      <c r="T206" s="101">
        <v>6.8240559767239092E-8</v>
      </c>
      <c r="U206" s="11"/>
      <c r="V206" s="101">
        <v>6.8097975970216545E-6</v>
      </c>
    </row>
    <row r="207" spans="2:23" ht="24.9" customHeight="1" x14ac:dyDescent="0.25">
      <c r="B207" s="103"/>
      <c r="C207" s="33"/>
      <c r="D207" s="101"/>
      <c r="E207" s="11"/>
      <c r="F207" s="101"/>
      <c r="G207" s="11"/>
      <c r="H207" s="101"/>
      <c r="I207" s="11"/>
      <c r="J207" s="101"/>
      <c r="K207" s="11"/>
      <c r="L207" s="101"/>
      <c r="M207" s="11"/>
      <c r="N207" s="101"/>
      <c r="O207" s="11"/>
      <c r="P207" s="101"/>
      <c r="Q207" s="11"/>
      <c r="R207" s="101"/>
      <c r="S207" s="11"/>
      <c r="T207" s="101"/>
      <c r="U207" s="11"/>
      <c r="V207" s="101"/>
    </row>
    <row r="208" spans="2:23" ht="24.9" customHeight="1" x14ac:dyDescent="0.25">
      <c r="B208" s="36" t="s">
        <v>50</v>
      </c>
      <c r="C208" s="33">
        <v>100</v>
      </c>
      <c r="D208" s="101">
        <v>1.5511547476627192E-7</v>
      </c>
      <c r="E208" s="54" t="s">
        <v>1908</v>
      </c>
      <c r="F208" s="101">
        <v>4.5742807328283337E-5</v>
      </c>
      <c r="G208" s="11" t="s">
        <v>1808</v>
      </c>
      <c r="H208" s="101">
        <v>5.4106296028068454E-4</v>
      </c>
      <c r="I208" s="11"/>
      <c r="J208" s="101">
        <v>1.2910048381714039E-3</v>
      </c>
      <c r="K208" s="11" t="s">
        <v>1808</v>
      </c>
      <c r="L208" s="101">
        <v>1.5953445466817809E-7</v>
      </c>
      <c r="M208" s="11" t="s">
        <v>1808</v>
      </c>
      <c r="N208" s="101">
        <v>2.5169605045277101E-7</v>
      </c>
      <c r="O208" s="11" t="s">
        <v>1808</v>
      </c>
      <c r="P208" s="101">
        <v>2.3711308423953471E-5</v>
      </c>
      <c r="Q208" s="11" t="s">
        <v>1808</v>
      </c>
      <c r="R208" s="101">
        <v>4.0398698250898763E-6</v>
      </c>
      <c r="S208" s="11" t="s">
        <v>1808</v>
      </c>
      <c r="T208" s="101">
        <v>8.3362653455640139E-6</v>
      </c>
      <c r="U208" s="11" t="s">
        <v>1808</v>
      </c>
      <c r="V208" s="101">
        <v>5.9071900742712399E-4</v>
      </c>
      <c r="W208" s="10" t="s">
        <v>1808</v>
      </c>
    </row>
    <row r="209" spans="2:23" ht="24.9" customHeight="1" x14ac:dyDescent="0.25">
      <c r="B209" s="36" t="s">
        <v>50</v>
      </c>
      <c r="C209" s="33">
        <v>200</v>
      </c>
      <c r="D209" s="101">
        <v>2.8910114227540319E-8</v>
      </c>
      <c r="E209" s="54" t="s">
        <v>1908</v>
      </c>
      <c r="F209" s="101">
        <v>1.7157138951743559E-5</v>
      </c>
      <c r="G209" s="11" t="s">
        <v>1808</v>
      </c>
      <c r="H209" s="101">
        <v>1.7211727112804076E-4</v>
      </c>
      <c r="I209" s="11"/>
      <c r="J209" s="101">
        <v>1.4113031507849091E-3</v>
      </c>
      <c r="K209" s="11" t="s">
        <v>1808</v>
      </c>
      <c r="L209" s="101">
        <v>1.6191628151612073E-7</v>
      </c>
      <c r="M209" s="11" t="s">
        <v>1808</v>
      </c>
      <c r="N209" s="101">
        <v>4.7493097654037682E-7</v>
      </c>
      <c r="O209" s="11" t="s">
        <v>1808</v>
      </c>
      <c r="P209" s="101">
        <v>1.5713427717880323E-5</v>
      </c>
      <c r="Q209" s="11" t="s">
        <v>1808</v>
      </c>
      <c r="R209" s="101">
        <v>4.4980732476655826E-6</v>
      </c>
      <c r="S209" s="11" t="s">
        <v>1808</v>
      </c>
      <c r="T209" s="101">
        <v>1.3135424817593121E-5</v>
      </c>
      <c r="U209" s="11" t="s">
        <v>1808</v>
      </c>
      <c r="V209" s="101">
        <v>6.3813056713631371E-4</v>
      </c>
      <c r="W209" s="10" t="s">
        <v>1808</v>
      </c>
    </row>
    <row r="210" spans="2:23" ht="24.9" customHeight="1" x14ac:dyDescent="0.25">
      <c r="B210" s="36" t="s">
        <v>50</v>
      </c>
      <c r="C210" s="33">
        <v>300</v>
      </c>
      <c r="D210" s="101">
        <v>5.7398290904984056E-7</v>
      </c>
      <c r="E210" s="54" t="s">
        <v>1908</v>
      </c>
      <c r="F210" s="101">
        <v>1.4445366874807946E-5</v>
      </c>
      <c r="G210" s="11" t="s">
        <v>1808</v>
      </c>
      <c r="H210" s="101">
        <v>1.0835557315161551E-4</v>
      </c>
      <c r="I210" s="11"/>
      <c r="J210" s="101">
        <v>8.1361168754595702E-4</v>
      </c>
      <c r="K210" s="11" t="s">
        <v>1808</v>
      </c>
      <c r="L210" s="101">
        <v>1.302421823177259E-7</v>
      </c>
      <c r="M210" s="11" t="s">
        <v>1808</v>
      </c>
      <c r="N210" s="101">
        <v>2.5080403883140909E-7</v>
      </c>
      <c r="O210" s="11" t="s">
        <v>1808</v>
      </c>
      <c r="P210" s="101">
        <v>1.1202660563672628E-5</v>
      </c>
      <c r="Q210" s="11" t="s">
        <v>1808</v>
      </c>
      <c r="R210" s="101">
        <v>2.8480512407597606E-6</v>
      </c>
      <c r="S210" s="11" t="s">
        <v>1808</v>
      </c>
      <c r="T210" s="101">
        <v>6.5398374938854789E-6</v>
      </c>
      <c r="U210" s="11" t="s">
        <v>1808</v>
      </c>
      <c r="V210" s="101">
        <v>3.8993318284162733E-4</v>
      </c>
      <c r="W210" s="10" t="s">
        <v>1808</v>
      </c>
    </row>
    <row r="211" spans="2:23" ht="24.9" customHeight="1" x14ac:dyDescent="0.25">
      <c r="B211" s="36" t="s">
        <v>50</v>
      </c>
      <c r="C211" s="33">
        <v>400</v>
      </c>
      <c r="D211" s="101">
        <v>4.4854260160019196E-7</v>
      </c>
      <c r="E211" s="54" t="s">
        <v>1908</v>
      </c>
      <c r="F211" s="101">
        <v>7.2769052741236075E-6</v>
      </c>
      <c r="G211" s="11" t="s">
        <v>1808</v>
      </c>
      <c r="H211" s="101">
        <v>5.1287966213211252E-5</v>
      </c>
      <c r="I211" s="11"/>
      <c r="J211" s="101">
        <v>2.6227738077371968E-4</v>
      </c>
      <c r="K211" s="11" t="s">
        <v>1808</v>
      </c>
      <c r="L211" s="101">
        <v>7.8227774169101901E-8</v>
      </c>
      <c r="M211" s="11" t="s">
        <v>1808</v>
      </c>
      <c r="N211" s="101">
        <v>1.0351580059536513E-7</v>
      </c>
      <c r="O211" s="11" t="s">
        <v>1808</v>
      </c>
      <c r="P211" s="101">
        <v>5.058001825911099E-6</v>
      </c>
      <c r="Q211" s="11" t="s">
        <v>1808</v>
      </c>
      <c r="R211" s="101">
        <v>1.5402022252044221E-6</v>
      </c>
      <c r="S211" s="11" t="s">
        <v>1808</v>
      </c>
      <c r="T211" s="101">
        <v>2.121664118832442E-6</v>
      </c>
      <c r="U211" s="11" t="s">
        <v>1808</v>
      </c>
      <c r="V211" s="101">
        <v>1.3565252256898875E-4</v>
      </c>
      <c r="W211" s="10" t="s">
        <v>1808</v>
      </c>
    </row>
    <row r="212" spans="2:23" ht="24.9" customHeight="1" x14ac:dyDescent="0.25">
      <c r="B212" s="36" t="s">
        <v>50</v>
      </c>
      <c r="C212" s="33">
        <v>500</v>
      </c>
      <c r="D212" s="101">
        <v>0</v>
      </c>
      <c r="E212" s="54" t="s">
        <v>1908</v>
      </c>
      <c r="F212" s="101">
        <v>2.8435275516313742E-6</v>
      </c>
      <c r="G212" s="11" t="s">
        <v>1808</v>
      </c>
      <c r="H212" s="101">
        <v>2.3449189441612759E-5</v>
      </c>
      <c r="I212" s="11"/>
      <c r="J212" s="101">
        <v>4.9507913045428853E-5</v>
      </c>
      <c r="K212" s="11" t="s">
        <v>1808</v>
      </c>
      <c r="L212" s="101">
        <v>2.7242462047772815E-8</v>
      </c>
      <c r="M212" s="11" t="s">
        <v>1808</v>
      </c>
      <c r="N212" s="101">
        <v>3.2776020612912182E-8</v>
      </c>
      <c r="O212" s="11" t="s">
        <v>1808</v>
      </c>
      <c r="P212" s="101">
        <v>1.3060308924347563E-6</v>
      </c>
      <c r="Q212" s="11" t="s">
        <v>1808</v>
      </c>
      <c r="R212" s="101">
        <v>6.8786738088715155E-7</v>
      </c>
      <c r="S212" s="11" t="s">
        <v>1808</v>
      </c>
      <c r="T212" s="101">
        <v>8.6615346652774158E-7</v>
      </c>
      <c r="U212" s="11" t="s">
        <v>1808</v>
      </c>
      <c r="V212" s="101">
        <v>5.8642912023120069E-5</v>
      </c>
      <c r="W212" s="10" t="s">
        <v>1808</v>
      </c>
    </row>
    <row r="213" spans="2:23" ht="24.9" customHeight="1" x14ac:dyDescent="0.25">
      <c r="B213" s="103" t="s">
        <v>501</v>
      </c>
      <c r="C213" s="33">
        <v>100</v>
      </c>
      <c r="D213" s="101">
        <v>2.6866788333535112E-7</v>
      </c>
      <c r="E213" s="54"/>
      <c r="F213" s="101">
        <v>1.9580700233929555E-5</v>
      </c>
      <c r="G213" s="11"/>
      <c r="H213" s="101">
        <v>1.3121141423485191E-4</v>
      </c>
      <c r="I213" s="11"/>
      <c r="J213" s="101">
        <v>3.8942310006751592E-4</v>
      </c>
      <c r="K213" s="11"/>
      <c r="L213" s="101">
        <v>1.3745280371923667E-8</v>
      </c>
      <c r="M213" s="11"/>
      <c r="N213" s="101">
        <v>1.8376847218591883E-7</v>
      </c>
      <c r="O213" s="11"/>
      <c r="P213" s="101">
        <v>1.7657942938381233E-5</v>
      </c>
      <c r="Q213" s="11"/>
      <c r="R213" s="101">
        <v>6.7603071695988315E-7</v>
      </c>
      <c r="S213" s="11"/>
      <c r="T213" s="101">
        <v>6.0492322722368848E-7</v>
      </c>
      <c r="U213" s="11"/>
      <c r="V213" s="101">
        <v>4.6382644609489255E-4</v>
      </c>
    </row>
    <row r="214" spans="2:23" ht="24.9" customHeight="1" x14ac:dyDescent="0.25">
      <c r="B214" s="103" t="s">
        <v>501</v>
      </c>
      <c r="C214" s="33">
        <v>200</v>
      </c>
      <c r="D214" s="101">
        <v>5.0073786694719701E-8</v>
      </c>
      <c r="E214" s="54"/>
      <c r="F214" s="101">
        <v>1.6606442700342595E-5</v>
      </c>
      <c r="G214" s="11"/>
      <c r="H214" s="101">
        <v>8.561403376315938E-5</v>
      </c>
      <c r="I214" s="11"/>
      <c r="J214" s="101">
        <v>6.8837436720522907E-4</v>
      </c>
      <c r="K214" s="11"/>
      <c r="L214" s="101">
        <v>2.8288720626428672E-8</v>
      </c>
      <c r="M214" s="11"/>
      <c r="N214" s="101">
        <v>3.7706933442469623E-7</v>
      </c>
      <c r="O214" s="11"/>
      <c r="P214" s="101">
        <v>3.6431979553684081E-6</v>
      </c>
      <c r="Q214" s="11"/>
      <c r="R214" s="101">
        <v>7.7370836621346698E-7</v>
      </c>
      <c r="S214" s="11"/>
      <c r="T214" s="101">
        <v>5.6028106584531688E-6</v>
      </c>
      <c r="U214" s="11"/>
      <c r="V214" s="101">
        <v>4.3418794730963828E-4</v>
      </c>
    </row>
    <row r="215" spans="2:23" ht="24.9" customHeight="1" x14ac:dyDescent="0.25">
      <c r="B215" s="103" t="s">
        <v>501</v>
      </c>
      <c r="C215" s="33">
        <v>300</v>
      </c>
      <c r="D215" s="101">
        <v>9.1319596295900569E-7</v>
      </c>
      <c r="E215" s="54"/>
      <c r="F215" s="101">
        <v>1.6881769347762377E-5</v>
      </c>
      <c r="G215" s="11"/>
      <c r="H215" s="101">
        <v>9.5725821879892779E-5</v>
      </c>
      <c r="I215" s="11"/>
      <c r="J215" s="101">
        <v>1.9408968760211719E-4</v>
      </c>
      <c r="K215" s="11"/>
      <c r="L215" s="101">
        <v>2.0117964376626785E-8</v>
      </c>
      <c r="M215" s="11"/>
      <c r="N215" s="101">
        <v>1.8020143776831051E-7</v>
      </c>
      <c r="O215" s="11"/>
      <c r="P215" s="101">
        <v>1.9607318054232575E-6</v>
      </c>
      <c r="Q215" s="11"/>
      <c r="R215" s="101">
        <v>7.1954979329554647E-7</v>
      </c>
      <c r="S215" s="11"/>
      <c r="T215" s="101">
        <v>7.9549499855926728E-7</v>
      </c>
      <c r="U215" s="11"/>
      <c r="V215" s="101">
        <v>2.6182822317379712E-4</v>
      </c>
    </row>
    <row r="216" spans="2:23" ht="24.9" customHeight="1" x14ac:dyDescent="0.25">
      <c r="B216" s="103" t="s">
        <v>501</v>
      </c>
      <c r="C216" s="33">
        <v>400</v>
      </c>
      <c r="D216" s="101">
        <v>4.5893380168707402E-7</v>
      </c>
      <c r="E216" s="54"/>
      <c r="F216" s="101">
        <v>9.3791589696679122E-6</v>
      </c>
      <c r="G216" s="11"/>
      <c r="H216" s="101">
        <v>6.6652473313969694E-5</v>
      </c>
      <c r="I216" s="11"/>
      <c r="J216" s="101">
        <v>2.022025788249277E-4</v>
      </c>
      <c r="K216" s="11"/>
      <c r="L216" s="101">
        <v>6.3787968121206754E-8</v>
      </c>
      <c r="M216" s="11"/>
      <c r="N216" s="101">
        <v>1.3192853939150544E-7</v>
      </c>
      <c r="O216" s="11"/>
      <c r="P216" s="101">
        <v>4.9541648975140329E-6</v>
      </c>
      <c r="Q216" s="11"/>
      <c r="R216" s="101">
        <v>1.1022321956324378E-6</v>
      </c>
      <c r="S216" s="11"/>
      <c r="T216" s="101">
        <v>1.6785764376580134E-6</v>
      </c>
      <c r="U216" s="11"/>
      <c r="V216" s="101">
        <v>1.3947680082672755E-4</v>
      </c>
    </row>
    <row r="217" spans="2:23" ht="24.9" customHeight="1" x14ac:dyDescent="0.25">
      <c r="B217" s="119" t="s">
        <v>501</v>
      </c>
      <c r="C217" s="38">
        <v>500</v>
      </c>
      <c r="D217" s="102">
        <v>0</v>
      </c>
      <c r="E217" s="59"/>
      <c r="F217" s="102">
        <v>2.8422115256141847E-6</v>
      </c>
      <c r="G217" s="14"/>
      <c r="H217" s="102">
        <v>3.9556859290948044E-6</v>
      </c>
      <c r="I217" s="14"/>
      <c r="J217" s="102">
        <v>1.4271659698155328E-5</v>
      </c>
      <c r="K217" s="14"/>
      <c r="L217" s="102">
        <v>2.2025334918243031E-8</v>
      </c>
      <c r="M217" s="14"/>
      <c r="N217" s="102">
        <v>4.0231016944268912E-8</v>
      </c>
      <c r="O217" s="14"/>
      <c r="P217" s="102">
        <v>1.01799308154433E-7</v>
      </c>
      <c r="Q217" s="14"/>
      <c r="R217" s="102">
        <v>1.3772568413578657E-7</v>
      </c>
      <c r="S217" s="14"/>
      <c r="T217" s="102">
        <v>2.4363051922942988E-7</v>
      </c>
      <c r="U217" s="14"/>
      <c r="V217" s="102">
        <v>4.4605461933482226E-5</v>
      </c>
      <c r="W217" s="13"/>
    </row>
    <row r="218" spans="2:23" ht="24.9" customHeight="1" x14ac:dyDescent="0.25">
      <c r="B218" s="100" t="s">
        <v>1909</v>
      </c>
    </row>
    <row r="219" spans="2:23" ht="24.9" customHeight="1" x14ac:dyDescent="0.25">
      <c r="D219" s="28"/>
      <c r="F219" s="28"/>
      <c r="H219" s="28"/>
      <c r="J219" s="28"/>
      <c r="L219" s="28"/>
      <c r="N219" s="28"/>
      <c r="P219" s="28"/>
      <c r="R219" s="28"/>
      <c r="T219" s="28"/>
      <c r="V219" s="28"/>
    </row>
    <row r="220" spans="2:23" ht="24.9" customHeight="1" x14ac:dyDescent="0.25">
      <c r="D220" s="137"/>
      <c r="F220" s="137"/>
      <c r="V220" s="137"/>
    </row>
    <row r="221" spans="2:23" ht="24.9" customHeight="1" x14ac:dyDescent="0.25">
      <c r="D221" s="137"/>
      <c r="F221" s="137"/>
      <c r="V221" s="137"/>
    </row>
    <row r="223" spans="2:23" ht="24.9" customHeight="1" x14ac:dyDescent="0.25">
      <c r="D223" s="137"/>
      <c r="F223" s="137"/>
      <c r="V223" s="137"/>
    </row>
    <row r="224" spans="2:23" ht="24.9" customHeight="1" x14ac:dyDescent="0.25">
      <c r="D224" s="137"/>
      <c r="F224" s="137"/>
      <c r="V224" s="137"/>
    </row>
  </sheetData>
  <mergeCells count="1">
    <mergeCell ref="B2:V2"/>
  </mergeCells>
  <conditionalFormatting sqref="A4:A125 C4:C125 X2:XFD134 A2:B2 A3:C3 A142:A1048576 X142:XFD1048576 B219:C1048576">
    <cfRule type="cellIs" dxfId="25" priority="19" operator="equal">
      <formula>"&lt; LOD"</formula>
    </cfRule>
    <cfRule type="cellIs" dxfId="24" priority="20" operator="equal">
      <formula>"&lt; LOQ"</formula>
    </cfRule>
  </conditionalFormatting>
  <conditionalFormatting sqref="A9:A18">
    <cfRule type="cellIs" dxfId="23" priority="16" operator="lessThan">
      <formula>0.001</formula>
    </cfRule>
  </conditionalFormatting>
  <conditionalFormatting sqref="A72:A80">
    <cfRule type="cellIs" dxfId="22" priority="18" operator="lessThan">
      <formula>0.001</formula>
    </cfRule>
  </conditionalFormatting>
  <conditionalFormatting sqref="A126:A134 C126:C134 C218">
    <cfRule type="cellIs" dxfId="21" priority="14" operator="equal">
      <formula>"&lt; LOD"</formula>
    </cfRule>
    <cfRule type="cellIs" dxfId="20" priority="15" operator="equal">
      <formula>"&lt; LOQ"</formula>
    </cfRule>
  </conditionalFormatting>
  <conditionalFormatting sqref="C4:C134 A34:A41">
    <cfRule type="cellIs" dxfId="19" priority="17" operator="lessThan">
      <formula>0.001</formula>
    </cfRule>
  </conditionalFormatting>
  <conditionalFormatting sqref="D4:W7 D8:E8 H8:W8 D9:W134">
    <cfRule type="cellIs" dxfId="18" priority="1" operator="lessThanOrEqual">
      <formula>0</formula>
    </cfRule>
  </conditionalFormatting>
  <conditionalFormatting sqref="X1:XFD1">
    <cfRule type="cellIs" dxfId="17" priority="2" operator="equal">
      <formula>"&lt; LOD"</formula>
    </cfRule>
    <cfRule type="cellIs" dxfId="16" priority="3" operator="equal">
      <formula>"&lt; LOQ"</formula>
    </cfRule>
  </conditionalFormatting>
  <conditionalFormatting sqref="X9:XFD18">
    <cfRule type="cellIs" dxfId="15" priority="8" operator="lessThan">
      <formula>0.001</formula>
    </cfRule>
  </conditionalFormatting>
  <conditionalFormatting sqref="X34:XFD41">
    <cfRule type="cellIs" dxfId="14" priority="9" operator="lessThan">
      <formula>0.001</formula>
    </cfRule>
  </conditionalFormatting>
  <conditionalFormatting sqref="X72:XFD80">
    <cfRule type="cellIs" dxfId="13" priority="10" operator="lessThan">
      <formula>0.001</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EF1D6-F6DE-4437-BD48-E0A7F85F211F}">
  <sheetPr codeName="Sheet25"/>
  <dimension ref="A1:W153"/>
  <sheetViews>
    <sheetView zoomScale="115" zoomScaleNormal="115" workbookViewId="0">
      <pane ySplit="4" topLeftCell="A5" activePane="bottomLeft" state="frozen"/>
      <selection pane="bottomLeft" activeCell="F13" sqref="F13"/>
    </sheetView>
  </sheetViews>
  <sheetFormatPr defaultColWidth="9.109375" defaultRowHeight="25.2" customHeight="1" x14ac:dyDescent="0.3"/>
  <cols>
    <col min="1" max="1" width="6.33203125" style="10" customWidth="1"/>
    <col min="2" max="2" width="13.33203125" style="10" customWidth="1"/>
    <col min="3" max="5" width="10.33203125" style="10" customWidth="1"/>
    <col min="6" max="6" width="11.6640625" style="10" customWidth="1"/>
    <col min="7" max="7" width="14.33203125" style="10" customWidth="1"/>
    <col min="8" max="8" width="6.33203125" style="10" customWidth="1"/>
    <col min="9" max="9" width="41.5546875" style="10" customWidth="1"/>
    <col min="10" max="10" width="9.109375" style="10"/>
    <col min="11" max="15" width="10.6640625" style="10" customWidth="1"/>
    <col min="16" max="16" width="6.33203125" style="10" customWidth="1"/>
    <col min="17" max="17" width="43.88671875" style="10" customWidth="1"/>
    <col min="18" max="18" width="9.109375" style="10"/>
    <col min="19" max="23" width="10.6640625" style="10" customWidth="1"/>
    <col min="24" max="24" width="6.33203125" style="10" customWidth="1"/>
    <col min="25" max="16384" width="9.109375" style="10"/>
  </cols>
  <sheetData>
    <row r="1" spans="1:23" s="1" customFormat="1" ht="13.2" customHeight="1" x14ac:dyDescent="0.25">
      <c r="C1" s="96"/>
      <c r="D1" s="96"/>
      <c r="E1" s="96"/>
      <c r="F1" s="96"/>
      <c r="G1" s="96"/>
      <c r="H1" s="96"/>
      <c r="I1" s="96"/>
      <c r="J1" s="96"/>
      <c r="K1" s="96"/>
      <c r="L1" s="96"/>
      <c r="M1" s="96"/>
      <c r="N1" s="96"/>
      <c r="O1" s="96"/>
      <c r="P1" s="96"/>
    </row>
    <row r="2" spans="1:23" s="86" customFormat="1" ht="57.75" customHeight="1" x14ac:dyDescent="0.3">
      <c r="B2" s="157" t="s">
        <v>1950</v>
      </c>
      <c r="C2" s="157"/>
      <c r="D2" s="157"/>
      <c r="E2" s="157"/>
      <c r="F2" s="157"/>
      <c r="G2" s="157"/>
      <c r="H2" s="157"/>
      <c r="I2" s="157"/>
      <c r="J2" s="157"/>
      <c r="K2" s="157"/>
      <c r="L2" s="157"/>
      <c r="M2" s="157"/>
      <c r="N2" s="157"/>
      <c r="O2" s="157"/>
      <c r="P2" s="98"/>
    </row>
    <row r="3" spans="1:23" s="1" customFormat="1" ht="13.8" thickBot="1" x14ac:dyDescent="0.3">
      <c r="B3" s="162" t="s">
        <v>1787</v>
      </c>
      <c r="C3" s="162"/>
      <c r="D3" s="162"/>
      <c r="E3" s="162"/>
      <c r="F3" s="162"/>
      <c r="G3" s="162"/>
      <c r="H3" s="88"/>
      <c r="I3" s="2" t="s">
        <v>1788</v>
      </c>
      <c r="J3" s="2"/>
      <c r="K3" s="2"/>
      <c r="L3" s="2"/>
      <c r="M3" s="2"/>
      <c r="N3" s="2"/>
      <c r="O3" s="2"/>
      <c r="Q3" s="2" t="s">
        <v>1789</v>
      </c>
      <c r="R3" s="3"/>
      <c r="S3" s="94"/>
      <c r="T3" s="94"/>
      <c r="U3" s="94"/>
      <c r="V3" s="94"/>
      <c r="W3" s="94"/>
    </row>
    <row r="4" spans="1:23" ht="25.2" customHeight="1" x14ac:dyDescent="0.3">
      <c r="A4" s="12"/>
      <c r="B4" s="21" t="s">
        <v>517</v>
      </c>
      <c r="C4" s="21" t="s">
        <v>556</v>
      </c>
      <c r="D4" s="21" t="s">
        <v>498</v>
      </c>
      <c r="E4" s="21" t="s">
        <v>503</v>
      </c>
      <c r="F4" s="21" t="s">
        <v>504</v>
      </c>
      <c r="G4" s="21" t="s">
        <v>7</v>
      </c>
      <c r="H4" s="44"/>
      <c r="I4" s="6" t="s">
        <v>0</v>
      </c>
      <c r="J4" s="7" t="s">
        <v>1</v>
      </c>
      <c r="K4" s="7" t="s">
        <v>556</v>
      </c>
      <c r="L4" s="7" t="s">
        <v>498</v>
      </c>
      <c r="M4" s="7" t="s">
        <v>503</v>
      </c>
      <c r="N4" s="7" t="s">
        <v>504</v>
      </c>
      <c r="O4" s="7" t="s">
        <v>7</v>
      </c>
      <c r="Q4" s="6" t="s">
        <v>0</v>
      </c>
      <c r="R4" s="7" t="s">
        <v>1</v>
      </c>
      <c r="S4" s="7" t="s">
        <v>556</v>
      </c>
      <c r="T4" s="7" t="s">
        <v>498</v>
      </c>
      <c r="U4" s="7" t="s">
        <v>503</v>
      </c>
      <c r="V4" s="7" t="s">
        <v>504</v>
      </c>
      <c r="W4" s="7" t="s">
        <v>7</v>
      </c>
    </row>
    <row r="5" spans="1:23" ht="25.2" customHeight="1" x14ac:dyDescent="0.3">
      <c r="B5" s="10" t="s">
        <v>8</v>
      </c>
      <c r="C5" s="11">
        <v>1.1000000000000001</v>
      </c>
      <c r="D5" s="11">
        <v>1.06</v>
      </c>
      <c r="E5" s="11">
        <v>15.2</v>
      </c>
      <c r="F5" s="11">
        <v>200</v>
      </c>
      <c r="G5" s="11">
        <v>58</v>
      </c>
      <c r="H5" s="11"/>
      <c r="I5" s="16" t="s">
        <v>1014</v>
      </c>
      <c r="J5" s="17">
        <v>100</v>
      </c>
      <c r="K5" s="54">
        <v>2.6173070032074657</v>
      </c>
      <c r="L5" s="54">
        <v>23.947663404844409</v>
      </c>
      <c r="M5" s="54">
        <v>1.408492612463766</v>
      </c>
      <c r="N5" s="54">
        <v>0</v>
      </c>
      <c r="O5" s="54">
        <v>4.3247700545108758</v>
      </c>
      <c r="Q5" s="16" t="s">
        <v>1014</v>
      </c>
      <c r="R5" s="17">
        <v>100</v>
      </c>
      <c r="S5" s="33">
        <v>0.1189685001457939</v>
      </c>
      <c r="T5" s="33">
        <v>1.1296067643794532</v>
      </c>
      <c r="U5" s="33">
        <v>4.6331993831044936E-3</v>
      </c>
      <c r="V5" s="33">
        <v>0</v>
      </c>
      <c r="W5" s="33">
        <v>3.7282500469921344E-3</v>
      </c>
    </row>
    <row r="6" spans="1:23" ht="25.2" customHeight="1" x14ac:dyDescent="0.3">
      <c r="B6" s="13" t="s">
        <v>9</v>
      </c>
      <c r="C6" s="14">
        <v>22</v>
      </c>
      <c r="D6" s="14">
        <v>21.200000000000003</v>
      </c>
      <c r="E6" s="14">
        <v>304</v>
      </c>
      <c r="F6" s="14">
        <v>4000</v>
      </c>
      <c r="G6" s="14">
        <v>1160</v>
      </c>
      <c r="H6" s="11"/>
      <c r="I6" s="16" t="s">
        <v>1014</v>
      </c>
      <c r="J6" s="18">
        <v>200</v>
      </c>
      <c r="K6" s="54">
        <v>16.885848175918131</v>
      </c>
      <c r="L6" s="54">
        <v>93.998047392786532</v>
      </c>
      <c r="M6" s="54">
        <v>1.756186641822691</v>
      </c>
      <c r="N6" s="54">
        <v>0</v>
      </c>
      <c r="O6" s="54">
        <v>1.8554532854171206</v>
      </c>
      <c r="Q6" s="16" t="s">
        <v>1014</v>
      </c>
      <c r="R6" s="18">
        <v>200</v>
      </c>
      <c r="S6" s="33">
        <v>0.76753855345082411</v>
      </c>
      <c r="T6" s="33">
        <v>4.4338701600370998</v>
      </c>
      <c r="U6" s="33">
        <v>5.7769297428377992E-3</v>
      </c>
      <c r="V6" s="33">
        <v>0</v>
      </c>
      <c r="W6" s="33">
        <v>1.5995286943251039E-3</v>
      </c>
    </row>
    <row r="7" spans="1:23" ht="25.2" customHeight="1" x14ac:dyDescent="0.3">
      <c r="B7" s="163" t="s">
        <v>1952</v>
      </c>
      <c r="C7" s="163"/>
      <c r="D7" s="163"/>
      <c r="E7" s="163"/>
      <c r="F7" s="163"/>
      <c r="G7" s="163"/>
      <c r="H7" s="46"/>
      <c r="I7" s="16" t="s">
        <v>1014</v>
      </c>
      <c r="J7" s="18">
        <v>300</v>
      </c>
      <c r="K7" s="54">
        <v>129.08864714447776</v>
      </c>
      <c r="L7" s="54">
        <v>549.48299228779422</v>
      </c>
      <c r="M7" s="54">
        <v>1.593010174387413</v>
      </c>
      <c r="N7" s="54">
        <v>0</v>
      </c>
      <c r="O7" s="54">
        <v>2.3899221145978586</v>
      </c>
      <c r="Q7" s="16" t="s">
        <v>1014</v>
      </c>
      <c r="R7" s="18">
        <v>300</v>
      </c>
      <c r="S7" s="33">
        <v>5.8676657792944438</v>
      </c>
      <c r="T7" s="33">
        <v>25.919009070178969</v>
      </c>
      <c r="U7" s="33">
        <v>5.2401650473270162E-3</v>
      </c>
      <c r="V7" s="33">
        <v>0</v>
      </c>
      <c r="W7" s="33">
        <v>2.0602776849981538E-3</v>
      </c>
    </row>
    <row r="8" spans="1:23" ht="25.2" customHeight="1" x14ac:dyDescent="0.3">
      <c r="B8" s="164"/>
      <c r="C8" s="164"/>
      <c r="D8" s="164"/>
      <c r="E8" s="164"/>
      <c r="F8" s="164"/>
      <c r="G8" s="164"/>
      <c r="H8" s="46"/>
      <c r="I8" s="16" t="s">
        <v>1014</v>
      </c>
      <c r="J8" s="17">
        <v>400</v>
      </c>
      <c r="K8" s="54">
        <v>214.79118967877972</v>
      </c>
      <c r="L8" s="54">
        <v>920.8197303492542</v>
      </c>
      <c r="M8" s="54">
        <v>1.9027080673076286</v>
      </c>
      <c r="N8" s="54">
        <v>0</v>
      </c>
      <c r="O8" s="54">
        <v>2.3148951199068595</v>
      </c>
      <c r="Q8" s="16" t="s">
        <v>1014</v>
      </c>
      <c r="R8" s="17">
        <v>400</v>
      </c>
      <c r="S8" s="33">
        <v>9.7632358944899877</v>
      </c>
      <c r="T8" s="33">
        <v>43.434892941002552</v>
      </c>
      <c r="U8" s="33">
        <v>6.2589081161435155E-3</v>
      </c>
      <c r="V8" s="33">
        <v>0</v>
      </c>
      <c r="W8" s="33">
        <v>1.9955992412990166E-3</v>
      </c>
    </row>
    <row r="9" spans="1:23" ht="29.25" customHeight="1" x14ac:dyDescent="0.3">
      <c r="B9" s="164"/>
      <c r="C9" s="164"/>
      <c r="D9" s="164"/>
      <c r="E9" s="164"/>
      <c r="F9" s="164"/>
      <c r="G9" s="164"/>
      <c r="H9" s="46"/>
      <c r="I9" s="16" t="s">
        <v>1014</v>
      </c>
      <c r="J9" s="18">
        <v>500</v>
      </c>
      <c r="K9" s="54">
        <v>254.97783625656277</v>
      </c>
      <c r="L9" s="54">
        <v>1164.4841701790563</v>
      </c>
      <c r="M9" s="54">
        <v>2.6859782181638847</v>
      </c>
      <c r="N9" s="54">
        <v>1.1205237605697218E-2</v>
      </c>
      <c r="O9" s="54">
        <v>3.1765105261237068</v>
      </c>
      <c r="Q9" s="16" t="s">
        <v>1014</v>
      </c>
      <c r="R9" s="18">
        <v>500</v>
      </c>
      <c r="S9" s="33">
        <v>11.589901648025581</v>
      </c>
      <c r="T9" s="33">
        <v>54.928498593351705</v>
      </c>
      <c r="U9" s="33">
        <v>8.8354546650127787E-3</v>
      </c>
      <c r="V9" s="33">
        <v>2.8013094014243045E-6</v>
      </c>
      <c r="W9" s="33">
        <v>2.7383711432100921E-3</v>
      </c>
    </row>
    <row r="10" spans="1:23" ht="25.2" customHeight="1" x14ac:dyDescent="0.3">
      <c r="B10" s="165" t="s">
        <v>1951</v>
      </c>
      <c r="C10" s="165"/>
      <c r="D10" s="165"/>
      <c r="E10" s="165"/>
      <c r="F10" s="165"/>
      <c r="G10" s="165"/>
      <c r="H10" s="46"/>
      <c r="I10" s="16" t="s">
        <v>1014</v>
      </c>
      <c r="J10" s="17">
        <v>600</v>
      </c>
      <c r="K10" s="54">
        <v>43.229815398705206</v>
      </c>
      <c r="L10" s="54">
        <v>143.54165758246563</v>
      </c>
      <c r="M10" s="54">
        <v>1.218997212961322</v>
      </c>
      <c r="N10" s="54">
        <v>1.5648355356969623E-2</v>
      </c>
      <c r="O10" s="54">
        <v>0.93915332088323533</v>
      </c>
      <c r="Q10" s="16" t="s">
        <v>1014</v>
      </c>
      <c r="R10" s="17">
        <v>600</v>
      </c>
      <c r="S10" s="33">
        <v>1.9649916090320547</v>
      </c>
      <c r="T10" s="33">
        <v>6.7708329048332834</v>
      </c>
      <c r="U10" s="33">
        <v>4.0098592531622431E-3</v>
      </c>
      <c r="V10" s="33">
        <v>3.9120888392424056E-6</v>
      </c>
      <c r="W10" s="33">
        <v>8.0961493179589256E-4</v>
      </c>
    </row>
    <row r="11" spans="1:23" ht="25.2" customHeight="1" x14ac:dyDescent="0.3">
      <c r="B11" s="165"/>
      <c r="C11" s="165"/>
      <c r="D11" s="165"/>
      <c r="E11" s="165"/>
      <c r="F11" s="165"/>
      <c r="G11" s="165"/>
      <c r="H11" s="46"/>
      <c r="I11" s="16" t="s">
        <v>1014</v>
      </c>
      <c r="J11" s="18">
        <v>700</v>
      </c>
      <c r="K11" s="54">
        <v>127.54195658375555</v>
      </c>
      <c r="L11" s="54">
        <v>584.50064984491496</v>
      </c>
      <c r="M11" s="54">
        <v>1.5432057887792638</v>
      </c>
      <c r="N11" s="54">
        <v>3.4207040917626101E-2</v>
      </c>
      <c r="O11" s="54">
        <v>2.25475038542378</v>
      </c>
      <c r="Q11" s="16" t="s">
        <v>1014</v>
      </c>
      <c r="R11" s="18">
        <v>700</v>
      </c>
      <c r="S11" s="33">
        <v>5.7973616628979796</v>
      </c>
      <c r="T11" s="33">
        <v>27.570785370043154</v>
      </c>
      <c r="U11" s="33">
        <v>5.0763348315107362E-3</v>
      </c>
      <c r="V11" s="33">
        <v>8.5517602294065246E-6</v>
      </c>
      <c r="W11" s="33">
        <v>1.9437503322618794E-3</v>
      </c>
    </row>
    <row r="12" spans="1:23" ht="25.2" customHeight="1" x14ac:dyDescent="0.3">
      <c r="B12" s="156"/>
      <c r="C12" s="156"/>
      <c r="D12" s="156"/>
      <c r="E12" s="156"/>
      <c r="F12" s="156"/>
      <c r="G12" s="156"/>
      <c r="H12" s="46"/>
      <c r="I12" s="16" t="s">
        <v>1014</v>
      </c>
      <c r="J12" s="17">
        <v>800</v>
      </c>
      <c r="K12" s="54">
        <v>333.77044057175851</v>
      </c>
      <c r="L12" s="54">
        <v>1584.566244402808</v>
      </c>
      <c r="M12" s="54">
        <v>1.5518674657350571</v>
      </c>
      <c r="N12" s="54">
        <v>0</v>
      </c>
      <c r="O12" s="54">
        <v>0</v>
      </c>
      <c r="Q12" s="16" t="s">
        <v>1014</v>
      </c>
      <c r="R12" s="17">
        <v>800</v>
      </c>
      <c r="S12" s="33">
        <v>15.17138366235266</v>
      </c>
      <c r="T12" s="33">
        <v>74.743690773717347</v>
      </c>
      <c r="U12" s="33">
        <v>5.1048271899179513E-3</v>
      </c>
      <c r="V12" s="33">
        <v>0</v>
      </c>
      <c r="W12" s="33">
        <v>0</v>
      </c>
    </row>
    <row r="13" spans="1:23" ht="25.2" customHeight="1" x14ac:dyDescent="0.3">
      <c r="I13" s="16" t="s">
        <v>1014</v>
      </c>
      <c r="J13" s="18">
        <v>900</v>
      </c>
      <c r="K13" s="54">
        <v>374.49106085171422</v>
      </c>
      <c r="L13" s="54">
        <v>1860.0887218952043</v>
      </c>
      <c r="M13" s="54">
        <v>1.5222188248112776</v>
      </c>
      <c r="N13" s="54">
        <v>6.1308467932854806E-2</v>
      </c>
      <c r="O13" s="54">
        <v>0</v>
      </c>
      <c r="Q13" s="16" t="s">
        <v>1014</v>
      </c>
      <c r="R13" s="18">
        <v>900</v>
      </c>
      <c r="S13" s="33">
        <v>17.022320947805191</v>
      </c>
      <c r="T13" s="33">
        <v>87.740034051660572</v>
      </c>
      <c r="U13" s="33">
        <v>5.0072987658265709E-3</v>
      </c>
      <c r="V13" s="33">
        <v>1.5327116983213702E-5</v>
      </c>
      <c r="W13" s="33">
        <v>0</v>
      </c>
    </row>
    <row r="14" spans="1:23" ht="25.2" customHeight="1" x14ac:dyDescent="0.3">
      <c r="I14" s="16" t="s">
        <v>1014</v>
      </c>
      <c r="J14" s="17">
        <v>1000</v>
      </c>
      <c r="K14" s="54">
        <v>705.64891420584388</v>
      </c>
      <c r="L14" s="54">
        <v>4118.3495537898161</v>
      </c>
      <c r="M14" s="54">
        <v>1.5791408217951772</v>
      </c>
      <c r="N14" s="54">
        <v>3.3211559883598182E-2</v>
      </c>
      <c r="O14" s="54">
        <v>13.497596736533787</v>
      </c>
      <c r="Q14" s="16" t="s">
        <v>1014</v>
      </c>
      <c r="R14" s="17">
        <v>1000</v>
      </c>
      <c r="S14" s="33">
        <v>32.074950645720179</v>
      </c>
      <c r="T14" s="33">
        <v>194.26177140517999</v>
      </c>
      <c r="U14" s="33">
        <v>5.1945421769578198E-3</v>
      </c>
      <c r="V14" s="33">
        <v>8.3028899708995452E-6</v>
      </c>
      <c r="W14" s="33">
        <v>1.1635859255632574E-2</v>
      </c>
    </row>
    <row r="15" spans="1:23" ht="25.2" customHeight="1" x14ac:dyDescent="0.3">
      <c r="I15" s="16" t="s">
        <v>1014</v>
      </c>
      <c r="J15" s="18">
        <v>1100</v>
      </c>
      <c r="K15" s="54">
        <v>447.7051080294076</v>
      </c>
      <c r="L15" s="54">
        <v>2425.3136951607712</v>
      </c>
      <c r="M15" s="54">
        <v>1.9392217891848993</v>
      </c>
      <c r="N15" s="54">
        <v>7.8717278375035893E-3</v>
      </c>
      <c r="O15" s="54">
        <v>0</v>
      </c>
      <c r="Q15" s="16" t="s">
        <v>1014</v>
      </c>
      <c r="R15" s="18">
        <v>1100</v>
      </c>
      <c r="S15" s="33">
        <v>20.35023218315489</v>
      </c>
      <c r="T15" s="33">
        <v>114.40158939437599</v>
      </c>
      <c r="U15" s="33">
        <v>6.3790190433713791E-3</v>
      </c>
      <c r="V15" s="33">
        <v>1.9679319593758974E-6</v>
      </c>
      <c r="W15" s="33">
        <v>0</v>
      </c>
    </row>
    <row r="16" spans="1:23" ht="25.2" customHeight="1" x14ac:dyDescent="0.3">
      <c r="I16" s="16" t="s">
        <v>1014</v>
      </c>
      <c r="J16" s="17">
        <v>1200</v>
      </c>
      <c r="K16" s="54">
        <v>910.8224317381007</v>
      </c>
      <c r="L16" s="54">
        <v>5019.9798157022442</v>
      </c>
      <c r="M16" s="54">
        <v>2.2317610513261981</v>
      </c>
      <c r="N16" s="54">
        <v>2.9689645723264102E-2</v>
      </c>
      <c r="O16" s="54">
        <v>0</v>
      </c>
      <c r="Q16" s="16" t="s">
        <v>1014</v>
      </c>
      <c r="R16" s="17">
        <v>1200</v>
      </c>
      <c r="S16" s="33">
        <v>41.401019624459124</v>
      </c>
      <c r="T16" s="33">
        <v>236.79150074067186</v>
      </c>
      <c r="U16" s="33">
        <v>7.3413192477835461E-3</v>
      </c>
      <c r="V16" s="33">
        <v>7.4224114308160252E-6</v>
      </c>
      <c r="W16" s="33">
        <v>0</v>
      </c>
    </row>
    <row r="17" spans="9:23" ht="25.2" customHeight="1" x14ac:dyDescent="0.3">
      <c r="I17" s="16" t="s">
        <v>1014</v>
      </c>
      <c r="J17" s="18">
        <v>1300</v>
      </c>
      <c r="K17" s="54">
        <v>1035.3570780300008</v>
      </c>
      <c r="L17" s="54">
        <v>6380.4315388713167</v>
      </c>
      <c r="M17" s="54">
        <v>2.4364599346272846</v>
      </c>
      <c r="N17" s="54">
        <v>1.5798018404038296E-2</v>
      </c>
      <c r="O17" s="54">
        <v>0</v>
      </c>
      <c r="Q17" s="16" t="s">
        <v>1014</v>
      </c>
      <c r="R17" s="18">
        <v>1300</v>
      </c>
      <c r="S17" s="33">
        <v>47.061685365000038</v>
      </c>
      <c r="T17" s="33">
        <v>300.96375183355264</v>
      </c>
      <c r="U17" s="33">
        <v>8.0146708375897525E-3</v>
      </c>
      <c r="V17" s="33">
        <v>3.9495046010095741E-6</v>
      </c>
      <c r="W17" s="33">
        <v>0</v>
      </c>
    </row>
    <row r="18" spans="9:23" ht="25.2" customHeight="1" x14ac:dyDescent="0.3">
      <c r="I18" s="16" t="s">
        <v>1014</v>
      </c>
      <c r="J18" s="17">
        <v>1400</v>
      </c>
      <c r="K18" s="54">
        <v>1043.5392856268347</v>
      </c>
      <c r="L18" s="54">
        <v>6453.9811116498586</v>
      </c>
      <c r="M18" s="54">
        <v>2.3466187906364788</v>
      </c>
      <c r="N18" s="54">
        <v>1.6799708842480732</v>
      </c>
      <c r="O18" s="54">
        <v>0</v>
      </c>
      <c r="Q18" s="16" t="s">
        <v>1014</v>
      </c>
      <c r="R18" s="17">
        <v>1400</v>
      </c>
      <c r="S18" s="33">
        <v>47.433603892128851</v>
      </c>
      <c r="T18" s="33">
        <v>304.43307130423858</v>
      </c>
      <c r="U18" s="33">
        <v>7.7191407586726275E-3</v>
      </c>
      <c r="V18" s="33">
        <v>4.1999272106201831E-4</v>
      </c>
      <c r="W18" s="33">
        <v>0</v>
      </c>
    </row>
    <row r="19" spans="9:23" ht="25.2" customHeight="1" x14ac:dyDescent="0.3">
      <c r="I19" s="16" t="s">
        <v>1014</v>
      </c>
      <c r="J19" s="18">
        <v>1500</v>
      </c>
      <c r="K19" s="54">
        <v>803.93326134153517</v>
      </c>
      <c r="L19" s="54">
        <v>7809.9011161690496</v>
      </c>
      <c r="M19" s="54">
        <v>1.7361078818966968</v>
      </c>
      <c r="N19" s="54">
        <v>0.19560498296395304</v>
      </c>
      <c r="O19" s="54">
        <v>17.847299649600956</v>
      </c>
      <c r="Q19" s="16" t="s">
        <v>1014</v>
      </c>
      <c r="R19" s="18">
        <v>1500</v>
      </c>
      <c r="S19" s="33">
        <v>36.542420970069777</v>
      </c>
      <c r="T19" s="33">
        <v>368.39156208344571</v>
      </c>
      <c r="U19" s="33">
        <v>5.7108811904496605E-3</v>
      </c>
      <c r="V19" s="33">
        <v>4.8901245740988259E-5</v>
      </c>
      <c r="W19" s="33">
        <v>1.5385603146207721E-2</v>
      </c>
    </row>
    <row r="20" spans="9:23" ht="25.2" customHeight="1" x14ac:dyDescent="0.3">
      <c r="I20" s="16" t="s">
        <v>1015</v>
      </c>
      <c r="J20" s="17">
        <v>100</v>
      </c>
      <c r="K20" s="54">
        <v>6.2139390335843734</v>
      </c>
      <c r="L20" s="54">
        <v>157.40994413173337</v>
      </c>
      <c r="M20" s="54">
        <v>1.6648541355015918</v>
      </c>
      <c r="N20" s="54">
        <v>0</v>
      </c>
      <c r="O20" s="54">
        <v>13.530431569312071</v>
      </c>
      <c r="Q20" s="16" t="s">
        <v>1015</v>
      </c>
      <c r="R20" s="17">
        <v>100</v>
      </c>
      <c r="S20" s="33">
        <v>0.28245177425383516</v>
      </c>
      <c r="T20" s="33">
        <v>7.424997364704403</v>
      </c>
      <c r="U20" s="33">
        <v>5.4764938667815517E-3</v>
      </c>
      <c r="V20" s="33">
        <v>0</v>
      </c>
      <c r="W20" s="33">
        <v>1.1664165145958682E-2</v>
      </c>
    </row>
    <row r="21" spans="9:23" ht="25.2" customHeight="1" x14ac:dyDescent="0.3">
      <c r="I21" s="16" t="s">
        <v>1015</v>
      </c>
      <c r="J21" s="18">
        <v>200</v>
      </c>
      <c r="K21" s="54">
        <v>84.782822766361505</v>
      </c>
      <c r="L21" s="54">
        <v>454.8840856571</v>
      </c>
      <c r="M21" s="54">
        <v>1.9474462355948323</v>
      </c>
      <c r="N21" s="54">
        <v>0.10390044180046895</v>
      </c>
      <c r="O21" s="54">
        <v>1.1174308768260004</v>
      </c>
      <c r="Q21" s="16" t="s">
        <v>1015</v>
      </c>
      <c r="R21" s="18">
        <v>200</v>
      </c>
      <c r="S21" s="33">
        <v>3.8537646711982503</v>
      </c>
      <c r="T21" s="33">
        <v>21.456796493259432</v>
      </c>
      <c r="U21" s="33">
        <v>6.4060731434040534E-3</v>
      </c>
      <c r="V21" s="33">
        <v>2.5975110450117237E-5</v>
      </c>
      <c r="W21" s="33">
        <v>9.6330248002241415E-4</v>
      </c>
    </row>
    <row r="22" spans="9:23" ht="25.2" customHeight="1" x14ac:dyDescent="0.3">
      <c r="I22" s="16" t="s">
        <v>1015</v>
      </c>
      <c r="J22" s="18">
        <v>300</v>
      </c>
      <c r="K22" s="54">
        <v>105.7057867408864</v>
      </c>
      <c r="L22" s="54">
        <v>810.076786934648</v>
      </c>
      <c r="M22" s="54">
        <v>1.9943768893712657</v>
      </c>
      <c r="N22" s="54">
        <v>9.2464000403717161E-2</v>
      </c>
      <c r="O22" s="54">
        <v>5.2712820155559506</v>
      </c>
      <c r="Q22" s="16" t="s">
        <v>1015</v>
      </c>
      <c r="R22" s="18">
        <v>300</v>
      </c>
      <c r="S22" s="33">
        <v>4.8048084882221085</v>
      </c>
      <c r="T22" s="33">
        <v>38.211169195030564</v>
      </c>
      <c r="U22" s="33">
        <v>6.5604502939844269E-3</v>
      </c>
      <c r="V22" s="33">
        <v>2.3116000100929292E-5</v>
      </c>
      <c r="W22" s="33">
        <v>4.5442086340999575E-3</v>
      </c>
    </row>
    <row r="23" spans="9:23" ht="25.2" customHeight="1" x14ac:dyDescent="0.3">
      <c r="I23" s="16" t="s">
        <v>1015</v>
      </c>
      <c r="J23" s="17">
        <v>400</v>
      </c>
      <c r="K23" s="54">
        <v>147.82915182996658</v>
      </c>
      <c r="L23" s="54">
        <v>1070.5058020935408</v>
      </c>
      <c r="M23" s="54">
        <v>2.3661734947162238</v>
      </c>
      <c r="N23" s="54">
        <v>3.4107719594571664E-3</v>
      </c>
      <c r="O23" s="54">
        <v>1.098567771003931</v>
      </c>
      <c r="Q23" s="16" t="s">
        <v>1015</v>
      </c>
      <c r="R23" s="17">
        <v>400</v>
      </c>
      <c r="S23" s="33">
        <v>6.7195069013621174</v>
      </c>
      <c r="T23" s="33">
        <v>50.495556702525498</v>
      </c>
      <c r="U23" s="33">
        <v>7.7834654431454733E-3</v>
      </c>
      <c r="V23" s="33">
        <v>8.5269298986429165E-7</v>
      </c>
      <c r="W23" s="33">
        <v>9.4704118189994056E-4</v>
      </c>
    </row>
    <row r="24" spans="9:23" ht="25.2" customHeight="1" x14ac:dyDescent="0.3">
      <c r="I24" s="16" t="s">
        <v>1015</v>
      </c>
      <c r="J24" s="18">
        <v>500</v>
      </c>
      <c r="K24" s="54">
        <v>185.92191565381509</v>
      </c>
      <c r="L24" s="54">
        <v>1226.3217424197637</v>
      </c>
      <c r="M24" s="54">
        <v>2.2773650989700918</v>
      </c>
      <c r="N24" s="54">
        <v>3.9500792621343352E-2</v>
      </c>
      <c r="O24" s="54">
        <v>9.5402833901570503</v>
      </c>
      <c r="Q24" s="16" t="s">
        <v>1015</v>
      </c>
      <c r="R24" s="18">
        <v>500</v>
      </c>
      <c r="S24" s="33">
        <v>8.4509961660825041</v>
      </c>
      <c r="T24" s="33">
        <v>57.845365208479414</v>
      </c>
      <c r="U24" s="33">
        <v>7.4913325624016173E-3</v>
      </c>
      <c r="V24" s="33">
        <v>9.8751981553358385E-6</v>
      </c>
      <c r="W24" s="33">
        <v>8.2243822328940085E-3</v>
      </c>
    </row>
    <row r="25" spans="9:23" ht="25.2" customHeight="1" x14ac:dyDescent="0.3">
      <c r="I25" s="16" t="s">
        <v>1016</v>
      </c>
      <c r="J25" s="17">
        <v>100</v>
      </c>
      <c r="K25" s="54">
        <v>9.000276427596237</v>
      </c>
      <c r="L25" s="54">
        <v>277.79607712260872</v>
      </c>
      <c r="M25" s="54">
        <v>1.7667822414340277</v>
      </c>
      <c r="N25" s="54">
        <v>4.1615740737483309E-2</v>
      </c>
      <c r="O25" s="54">
        <v>4.2648153794109191</v>
      </c>
      <c r="Q25" s="16" t="s">
        <v>1016</v>
      </c>
      <c r="R25" s="17">
        <v>100</v>
      </c>
      <c r="S25" s="33">
        <v>0.40910347398164715</v>
      </c>
      <c r="T25" s="33">
        <v>13.103588543519278</v>
      </c>
      <c r="U25" s="33">
        <v>5.8117836889277231E-3</v>
      </c>
      <c r="V25" s="33">
        <v>1.0403935184370827E-5</v>
      </c>
      <c r="W25" s="33">
        <v>3.6765649822507922E-3</v>
      </c>
    </row>
    <row r="26" spans="9:23" ht="25.2" customHeight="1" x14ac:dyDescent="0.3">
      <c r="I26" s="16" t="s">
        <v>1016</v>
      </c>
      <c r="J26" s="18">
        <v>200</v>
      </c>
      <c r="K26" s="54">
        <v>18.379210175818269</v>
      </c>
      <c r="L26" s="54">
        <v>294.25114767945672</v>
      </c>
      <c r="M26" s="54">
        <v>1.856087717464723</v>
      </c>
      <c r="N26" s="54">
        <v>0.40551228459903321</v>
      </c>
      <c r="O26" s="54">
        <v>1.7487434304984699</v>
      </c>
      <c r="Q26" s="16" t="s">
        <v>1016</v>
      </c>
      <c r="R26" s="18">
        <v>200</v>
      </c>
      <c r="S26" s="33">
        <v>0.83541864435537583</v>
      </c>
      <c r="T26" s="33">
        <v>13.879771116955505</v>
      </c>
      <c r="U26" s="33">
        <v>6.1055517021865891E-3</v>
      </c>
      <c r="V26" s="33">
        <v>1.013780711497583E-4</v>
      </c>
      <c r="W26" s="33">
        <v>1.5075374400848878E-3</v>
      </c>
    </row>
    <row r="27" spans="9:23" ht="25.2" customHeight="1" x14ac:dyDescent="0.3">
      <c r="I27" s="16" t="s">
        <v>1016</v>
      </c>
      <c r="J27" s="18">
        <v>300</v>
      </c>
      <c r="K27" s="54">
        <v>25.638208150027452</v>
      </c>
      <c r="L27" s="54">
        <v>213.4080592192613</v>
      </c>
      <c r="M27" s="54">
        <v>1.8067882978425696</v>
      </c>
      <c r="N27" s="54">
        <v>2.7885478907046596E-2</v>
      </c>
      <c r="O27" s="54">
        <v>3.7631711690055054</v>
      </c>
      <c r="Q27" s="16" t="s">
        <v>1016</v>
      </c>
      <c r="R27" s="18">
        <v>300</v>
      </c>
      <c r="S27" s="33">
        <v>1.1653730977285206</v>
      </c>
      <c r="T27" s="33">
        <v>10.066417887701004</v>
      </c>
      <c r="U27" s="33">
        <v>5.943382558692663E-3</v>
      </c>
      <c r="V27" s="33">
        <v>6.971369726761649E-6</v>
      </c>
      <c r="W27" s="33">
        <v>3.244113076728884E-3</v>
      </c>
    </row>
    <row r="28" spans="9:23" ht="25.2" customHeight="1" x14ac:dyDescent="0.3">
      <c r="I28" s="16" t="s">
        <v>1016</v>
      </c>
      <c r="J28" s="17">
        <v>400</v>
      </c>
      <c r="K28" s="54">
        <v>47.498162437506501</v>
      </c>
      <c r="L28" s="54">
        <v>316.97046236938809</v>
      </c>
      <c r="M28" s="54">
        <v>2.2842856927891906</v>
      </c>
      <c r="N28" s="54">
        <v>-2.8595514603293841E-3</v>
      </c>
      <c r="O28" s="54">
        <v>5.7089451696665137</v>
      </c>
      <c r="Q28" s="16" t="s">
        <v>1016</v>
      </c>
      <c r="R28" s="17">
        <v>400</v>
      </c>
      <c r="S28" s="33">
        <v>2.1590073835230226</v>
      </c>
      <c r="T28" s="33">
        <v>14.951436904216417</v>
      </c>
      <c r="U28" s="33">
        <v>7.5140976736486533E-3</v>
      </c>
      <c r="V28" s="33">
        <v>-7.1488786508234606E-7</v>
      </c>
      <c r="W28" s="33">
        <v>4.9215044566090632E-3</v>
      </c>
    </row>
    <row r="29" spans="9:23" ht="25.2" customHeight="1" x14ac:dyDescent="0.3">
      <c r="I29" s="16" t="s">
        <v>1016</v>
      </c>
      <c r="J29" s="18">
        <v>500</v>
      </c>
      <c r="K29" s="54">
        <v>80.53380121106116</v>
      </c>
      <c r="L29" s="54">
        <v>449.75559404593338</v>
      </c>
      <c r="M29" s="54">
        <v>1.8420167527632763</v>
      </c>
      <c r="N29" s="54">
        <v>1.0286100127871118E-2</v>
      </c>
      <c r="O29" s="54">
        <v>7.7138882029075386</v>
      </c>
      <c r="Q29" s="16" t="s">
        <v>1016</v>
      </c>
      <c r="R29" s="18">
        <v>500</v>
      </c>
      <c r="S29" s="33">
        <v>3.6606273277755075</v>
      </c>
      <c r="T29" s="33">
        <v>21.214886511600628</v>
      </c>
      <c r="U29" s="33">
        <v>6.0592656340897246E-3</v>
      </c>
      <c r="V29" s="33">
        <v>2.5715250319677793E-6</v>
      </c>
      <c r="W29" s="33">
        <v>6.6499036231961539E-3</v>
      </c>
    </row>
    <row r="30" spans="9:23" ht="25.2" customHeight="1" x14ac:dyDescent="0.3">
      <c r="I30" s="16" t="s">
        <v>1017</v>
      </c>
      <c r="J30" s="17">
        <v>100</v>
      </c>
      <c r="K30" s="54">
        <v>119.47279633344503</v>
      </c>
      <c r="L30" s="54">
        <v>94.585635263160995</v>
      </c>
      <c r="M30" s="54">
        <v>3.6950519533854762</v>
      </c>
      <c r="N30" s="54">
        <v>0</v>
      </c>
      <c r="O30" s="54">
        <v>14.541476858423254</v>
      </c>
      <c r="Q30" s="16" t="s">
        <v>1017</v>
      </c>
      <c r="R30" s="17">
        <v>100</v>
      </c>
      <c r="S30" s="33">
        <v>5.430581651520229</v>
      </c>
      <c r="T30" s="33">
        <v>4.4615865690170278</v>
      </c>
      <c r="U30" s="33">
        <v>1.2154776162452224E-2</v>
      </c>
      <c r="V30" s="33">
        <v>0</v>
      </c>
      <c r="W30" s="33">
        <v>1.2535755912433839E-2</v>
      </c>
    </row>
    <row r="31" spans="9:23" ht="25.2" customHeight="1" x14ac:dyDescent="0.3">
      <c r="I31" s="16" t="s">
        <v>1017</v>
      </c>
      <c r="J31" s="18">
        <v>200</v>
      </c>
      <c r="K31" s="54">
        <v>264.68337737169725</v>
      </c>
      <c r="L31" s="54">
        <v>201.92619906343569</v>
      </c>
      <c r="M31" s="54">
        <v>3.9827112684148438</v>
      </c>
      <c r="N31" s="54">
        <v>1.1771953430834081</v>
      </c>
      <c r="O31" s="54">
        <v>84.639147899393322</v>
      </c>
      <c r="Q31" s="16" t="s">
        <v>1017</v>
      </c>
      <c r="R31" s="18">
        <v>200</v>
      </c>
      <c r="S31" s="33">
        <v>12.03106260780442</v>
      </c>
      <c r="T31" s="33">
        <v>9.5248207105394176</v>
      </c>
      <c r="U31" s="33">
        <v>1.3101023909259355E-2</v>
      </c>
      <c r="V31" s="33">
        <v>2.9429883577085201E-4</v>
      </c>
      <c r="W31" s="33">
        <v>7.2964782671890799E-2</v>
      </c>
    </row>
    <row r="32" spans="9:23" ht="25.2" customHeight="1" x14ac:dyDescent="0.3">
      <c r="I32" s="16" t="s">
        <v>1017</v>
      </c>
      <c r="J32" s="18">
        <v>300</v>
      </c>
      <c r="K32" s="54">
        <v>308.46455285520591</v>
      </c>
      <c r="L32" s="54">
        <v>262.09638322967373</v>
      </c>
      <c r="M32" s="54">
        <v>4.2282963556776281</v>
      </c>
      <c r="N32" s="54">
        <v>0</v>
      </c>
      <c r="O32" s="54">
        <v>9.1581618137065011</v>
      </c>
      <c r="Q32" s="16" t="s">
        <v>1017</v>
      </c>
      <c r="R32" s="18">
        <v>300</v>
      </c>
      <c r="S32" s="33">
        <v>14.021116038872997</v>
      </c>
      <c r="T32" s="33">
        <v>12.36303694479593</v>
      </c>
      <c r="U32" s="33">
        <v>1.3908869591044828E-2</v>
      </c>
      <c r="V32" s="33">
        <v>0</v>
      </c>
      <c r="W32" s="33">
        <v>7.8949670807814658E-3</v>
      </c>
    </row>
    <row r="33" spans="9:23" ht="25.2" customHeight="1" x14ac:dyDescent="0.3">
      <c r="I33" s="16" t="s">
        <v>1017</v>
      </c>
      <c r="J33" s="17">
        <v>400</v>
      </c>
      <c r="K33" s="54">
        <v>135.96261801475544</v>
      </c>
      <c r="L33" s="54">
        <v>127.39618763094558</v>
      </c>
      <c r="M33" s="54">
        <v>3.8448849648202499</v>
      </c>
      <c r="N33" s="54">
        <v>4.2410100242419126E-2</v>
      </c>
      <c r="O33" s="54">
        <v>0</v>
      </c>
      <c r="Q33" s="16" t="s">
        <v>1017</v>
      </c>
      <c r="R33" s="17">
        <v>400</v>
      </c>
      <c r="S33" s="33">
        <v>6.1801190006707012</v>
      </c>
      <c r="T33" s="33">
        <v>6.0092541335351681</v>
      </c>
      <c r="U33" s="33">
        <v>1.2647647910592927E-2</v>
      </c>
      <c r="V33" s="33">
        <v>1.0602525060604781E-5</v>
      </c>
      <c r="W33" s="33">
        <v>0</v>
      </c>
    </row>
    <row r="34" spans="9:23" ht="25.2" customHeight="1" x14ac:dyDescent="0.3">
      <c r="I34" s="16" t="s">
        <v>1017</v>
      </c>
      <c r="J34" s="18">
        <v>500</v>
      </c>
      <c r="K34" s="54">
        <v>214.09676014318711</v>
      </c>
      <c r="L34" s="54">
        <v>107.78659908319332</v>
      </c>
      <c r="M34" s="54">
        <v>4.2004771490037696</v>
      </c>
      <c r="N34" s="54">
        <v>2.3173718991444277E-2</v>
      </c>
      <c r="O34" s="54">
        <v>0</v>
      </c>
      <c r="Q34" s="16" t="s">
        <v>1017</v>
      </c>
      <c r="R34" s="18">
        <v>500</v>
      </c>
      <c r="S34" s="33">
        <v>9.7316709155994143</v>
      </c>
      <c r="T34" s="33">
        <v>5.0842735416600613</v>
      </c>
      <c r="U34" s="33">
        <v>1.3817359042775557E-2</v>
      </c>
      <c r="V34" s="33">
        <v>5.793429747861069E-6</v>
      </c>
      <c r="W34" s="33">
        <v>0</v>
      </c>
    </row>
    <row r="35" spans="9:23" ht="25.2" customHeight="1" x14ac:dyDescent="0.3">
      <c r="I35" s="16" t="s">
        <v>1017</v>
      </c>
      <c r="J35" s="17">
        <v>600</v>
      </c>
      <c r="K35" s="54">
        <v>63.526118613688375</v>
      </c>
      <c r="L35" s="54">
        <v>37.139207181547974</v>
      </c>
      <c r="M35" s="54">
        <v>1.6031696578714589</v>
      </c>
      <c r="N35" s="54">
        <v>3.3463238060504046E-2</v>
      </c>
      <c r="O35" s="54">
        <v>18.607740808762276</v>
      </c>
      <c r="Q35" s="16" t="s">
        <v>1017</v>
      </c>
      <c r="R35" s="17">
        <v>600</v>
      </c>
      <c r="S35" s="33">
        <v>2.8875508460767443</v>
      </c>
      <c r="T35" s="33">
        <v>1.7518493953560363</v>
      </c>
      <c r="U35" s="33">
        <v>5.2735844008929573E-3</v>
      </c>
      <c r="V35" s="33">
        <v>8.3658095151260109E-6</v>
      </c>
      <c r="W35" s="33">
        <v>1.6041155869622653E-2</v>
      </c>
    </row>
    <row r="36" spans="9:23" ht="25.2" customHeight="1" x14ac:dyDescent="0.3">
      <c r="I36" s="16" t="s">
        <v>1017</v>
      </c>
      <c r="J36" s="18">
        <v>700</v>
      </c>
      <c r="K36" s="54">
        <v>169.24232767940265</v>
      </c>
      <c r="L36" s="54">
        <v>113.07832006541958</v>
      </c>
      <c r="M36" s="54">
        <v>1.9807249683597195</v>
      </c>
      <c r="N36" s="54">
        <v>4.1163501803489565E-2</v>
      </c>
      <c r="O36" s="54">
        <v>11.543187151432376</v>
      </c>
      <c r="Q36" s="16" t="s">
        <v>1017</v>
      </c>
      <c r="R36" s="18">
        <v>700</v>
      </c>
      <c r="S36" s="33">
        <v>7.6928330763364841</v>
      </c>
      <c r="T36" s="33">
        <v>5.3338830219537527</v>
      </c>
      <c r="U36" s="33">
        <v>6.5155426590780248E-3</v>
      </c>
      <c r="V36" s="33">
        <v>1.0290875450872392E-5</v>
      </c>
      <c r="W36" s="33">
        <v>9.9510234064072202E-3</v>
      </c>
    </row>
    <row r="37" spans="9:23" ht="25.2" customHeight="1" x14ac:dyDescent="0.3">
      <c r="I37" s="16" t="s">
        <v>1017</v>
      </c>
      <c r="J37" s="17">
        <v>800</v>
      </c>
      <c r="K37" s="54">
        <v>317.14891719253109</v>
      </c>
      <c r="L37" s="54">
        <v>427.46568219660742</v>
      </c>
      <c r="M37" s="54">
        <v>2.1253905729791596</v>
      </c>
      <c r="N37" s="54">
        <v>0.28385074090977508</v>
      </c>
      <c r="O37" s="54">
        <v>4.8794529531170845</v>
      </c>
      <c r="Q37" s="16" t="s">
        <v>1017</v>
      </c>
      <c r="R37" s="17">
        <v>800</v>
      </c>
      <c r="S37" s="33">
        <v>14.415859872387777</v>
      </c>
      <c r="T37" s="33">
        <v>20.163475575311669</v>
      </c>
      <c r="U37" s="33">
        <v>6.9914163584840778E-3</v>
      </c>
      <c r="V37" s="33">
        <v>7.0962685227443772E-5</v>
      </c>
      <c r="W37" s="33">
        <v>4.2064249595836932E-3</v>
      </c>
    </row>
    <row r="38" spans="9:23" ht="25.2" customHeight="1" x14ac:dyDescent="0.3">
      <c r="I38" s="16" t="s">
        <v>1017</v>
      </c>
      <c r="J38" s="18">
        <v>900</v>
      </c>
      <c r="K38" s="54">
        <v>214.77623480878393</v>
      </c>
      <c r="L38" s="54">
        <v>285.24617388211084</v>
      </c>
      <c r="M38" s="54">
        <v>2.0925686635099869</v>
      </c>
      <c r="N38" s="54">
        <v>-7.9317886064688814E-4</v>
      </c>
      <c r="O38" s="54">
        <v>2.8656163473892713</v>
      </c>
      <c r="Q38" s="16" t="s">
        <v>1017</v>
      </c>
      <c r="R38" s="18">
        <v>900</v>
      </c>
      <c r="S38" s="33">
        <v>9.7625561276719974</v>
      </c>
      <c r="T38" s="33">
        <v>13.455008201986358</v>
      </c>
      <c r="U38" s="33">
        <v>6.8834495510196941E-3</v>
      </c>
      <c r="V38" s="33">
        <v>-1.9829471516172203E-7</v>
      </c>
      <c r="W38" s="33">
        <v>2.470358920163165E-3</v>
      </c>
    </row>
    <row r="39" spans="9:23" ht="25.2" customHeight="1" x14ac:dyDescent="0.3">
      <c r="I39" s="16" t="s">
        <v>1017</v>
      </c>
      <c r="J39" s="17">
        <v>1000</v>
      </c>
      <c r="K39" s="54">
        <v>713.91335389914821</v>
      </c>
      <c r="L39" s="54">
        <v>996.87301195152145</v>
      </c>
      <c r="M39" s="54">
        <v>2.95719347263026</v>
      </c>
      <c r="N39" s="54">
        <v>1.6040018091896622E-3</v>
      </c>
      <c r="O39" s="54">
        <v>17.127874650890018</v>
      </c>
      <c r="Q39" s="16" t="s">
        <v>1017</v>
      </c>
      <c r="R39" s="17">
        <v>1000</v>
      </c>
      <c r="S39" s="33">
        <v>32.450606995415825</v>
      </c>
      <c r="T39" s="33">
        <v>47.022311884505726</v>
      </c>
      <c r="U39" s="33">
        <v>9.7276101073363822E-3</v>
      </c>
      <c r="V39" s="33">
        <v>4.0100045229741556E-7</v>
      </c>
      <c r="W39" s="33">
        <v>1.4765409181801739E-2</v>
      </c>
    </row>
    <row r="40" spans="9:23" ht="25.2" customHeight="1" x14ac:dyDescent="0.3">
      <c r="I40" s="16" t="s">
        <v>1017</v>
      </c>
      <c r="J40" s="18">
        <v>1100</v>
      </c>
      <c r="K40" s="54">
        <v>1429.37607886162</v>
      </c>
      <c r="L40" s="54">
        <v>2194.2190537675583</v>
      </c>
      <c r="M40" s="54">
        <v>3.5472482502900164</v>
      </c>
      <c r="N40" s="54">
        <v>3.5067665522274416E-2</v>
      </c>
      <c r="O40" s="54">
        <v>8.8113807077715265</v>
      </c>
      <c r="Q40" s="16" t="s">
        <v>1017</v>
      </c>
      <c r="R40" s="18">
        <v>1100</v>
      </c>
      <c r="S40" s="33">
        <v>64.971639948255458</v>
      </c>
      <c r="T40" s="33">
        <v>103.50089876262066</v>
      </c>
      <c r="U40" s="33">
        <v>1.1668579770690843E-2</v>
      </c>
      <c r="V40" s="33">
        <v>8.7669163805686043E-6</v>
      </c>
      <c r="W40" s="33">
        <v>7.5960178515271778E-3</v>
      </c>
    </row>
    <row r="41" spans="9:23" ht="25.2" customHeight="1" x14ac:dyDescent="0.3">
      <c r="I41" s="16" t="s">
        <v>1017</v>
      </c>
      <c r="J41" s="17">
        <v>1200</v>
      </c>
      <c r="K41" s="54">
        <v>3314.2777403516016</v>
      </c>
      <c r="L41" s="54">
        <v>8175.6535923060856</v>
      </c>
      <c r="M41" s="54">
        <v>4.456535993353933</v>
      </c>
      <c r="N41" s="54">
        <v>1.7488207720004884E-2</v>
      </c>
      <c r="O41" s="54">
        <v>9.9393157502915095</v>
      </c>
      <c r="Q41" s="16" t="s">
        <v>1017</v>
      </c>
      <c r="R41" s="17">
        <v>1200</v>
      </c>
      <c r="S41" s="33">
        <v>150.64898819780007</v>
      </c>
      <c r="T41" s="33">
        <v>385.64403737292849</v>
      </c>
      <c r="U41" s="33">
        <v>1.4659657872874779E-2</v>
      </c>
      <c r="V41" s="33">
        <v>4.3720519300012214E-6</v>
      </c>
      <c r="W41" s="33">
        <v>8.5683756468030257E-3</v>
      </c>
    </row>
    <row r="42" spans="9:23" ht="25.2" customHeight="1" x14ac:dyDescent="0.3">
      <c r="I42" s="16" t="s">
        <v>1017</v>
      </c>
      <c r="J42" s="18">
        <v>1300</v>
      </c>
      <c r="K42" s="54">
        <v>700.23333026101272</v>
      </c>
      <c r="L42" s="54">
        <v>4080.3998522962916</v>
      </c>
      <c r="M42" s="54">
        <v>3.9621093229952122</v>
      </c>
      <c r="N42" s="54">
        <v>2.2345424135557873E-2</v>
      </c>
      <c r="O42" s="54">
        <v>9.6070683512304882</v>
      </c>
      <c r="Q42" s="16" t="s">
        <v>1017</v>
      </c>
      <c r="R42" s="18">
        <v>1300</v>
      </c>
      <c r="S42" s="33">
        <v>31.828787739136942</v>
      </c>
      <c r="T42" s="33">
        <v>192.47169114605146</v>
      </c>
      <c r="U42" s="33">
        <v>1.3033254351957934E-2</v>
      </c>
      <c r="V42" s="33">
        <v>5.5863560338894681E-6</v>
      </c>
      <c r="W42" s="33">
        <v>8.2819554751986969E-3</v>
      </c>
    </row>
    <row r="43" spans="9:23" ht="25.2" customHeight="1" x14ac:dyDescent="0.3">
      <c r="I43" s="16" t="s">
        <v>1018</v>
      </c>
      <c r="J43" s="17">
        <v>100</v>
      </c>
      <c r="K43" s="54">
        <v>18.874373334387084</v>
      </c>
      <c r="L43" s="54">
        <v>161.58421105385668</v>
      </c>
      <c r="M43" s="54">
        <v>5.5138355567838122</v>
      </c>
      <c r="N43" s="54">
        <v>0</v>
      </c>
      <c r="O43" s="54">
        <v>0</v>
      </c>
      <c r="Q43" s="16" t="s">
        <v>1018</v>
      </c>
      <c r="R43" s="17">
        <v>100</v>
      </c>
      <c r="S43" s="33">
        <v>0.85792606065395838</v>
      </c>
      <c r="T43" s="33">
        <v>7.6218967478234267</v>
      </c>
      <c r="U43" s="33">
        <v>1.8137616963104647E-2</v>
      </c>
      <c r="V43" s="33">
        <v>0</v>
      </c>
      <c r="W43" s="33">
        <v>0</v>
      </c>
    </row>
    <row r="44" spans="9:23" ht="25.2" customHeight="1" x14ac:dyDescent="0.3">
      <c r="I44" s="16" t="s">
        <v>1018</v>
      </c>
      <c r="J44" s="18">
        <v>200</v>
      </c>
      <c r="K44" s="54">
        <v>28.224026979790562</v>
      </c>
      <c r="L44" s="54">
        <v>192.77540932191107</v>
      </c>
      <c r="M44" s="54">
        <v>4.6702582237382124</v>
      </c>
      <c r="N44" s="54">
        <v>2.6828033849367952E-2</v>
      </c>
      <c r="O44" s="54">
        <v>6.4141823981019854</v>
      </c>
      <c r="Q44" s="16" t="s">
        <v>1018</v>
      </c>
      <c r="R44" s="18">
        <v>200</v>
      </c>
      <c r="S44" s="33">
        <v>1.2829103172632073</v>
      </c>
      <c r="T44" s="33">
        <v>9.0931796849958033</v>
      </c>
      <c r="U44" s="33">
        <v>1.5362691525454646E-2</v>
      </c>
      <c r="V44" s="33">
        <v>6.7070084623419878E-6</v>
      </c>
      <c r="W44" s="33">
        <v>5.5294675845706772E-3</v>
      </c>
    </row>
    <row r="45" spans="9:23" ht="25.2" customHeight="1" x14ac:dyDescent="0.3">
      <c r="I45" s="16" t="s">
        <v>1018</v>
      </c>
      <c r="J45" s="18">
        <v>300</v>
      </c>
      <c r="K45" s="54">
        <v>40.024680022171623</v>
      </c>
      <c r="L45" s="54">
        <v>292.57421385910897</v>
      </c>
      <c r="M45" s="54">
        <v>5.8651394368796135</v>
      </c>
      <c r="N45" s="54">
        <v>0</v>
      </c>
      <c r="O45" s="54">
        <v>19.556974325302441</v>
      </c>
      <c r="Q45" s="16" t="s">
        <v>1018</v>
      </c>
      <c r="R45" s="18">
        <v>300</v>
      </c>
      <c r="S45" s="33">
        <v>1.8193036373714373</v>
      </c>
      <c r="T45" s="33">
        <v>13.800670465052308</v>
      </c>
      <c r="U45" s="33">
        <v>1.9293221831840835E-2</v>
      </c>
      <c r="V45" s="33">
        <v>0</v>
      </c>
      <c r="W45" s="33">
        <v>1.6859460625260725E-2</v>
      </c>
    </row>
    <row r="46" spans="9:23" ht="25.2" customHeight="1" x14ac:dyDescent="0.3">
      <c r="I46" s="16" t="s">
        <v>1018</v>
      </c>
      <c r="J46" s="17">
        <v>400</v>
      </c>
      <c r="K46" s="54">
        <v>75.553172145940479</v>
      </c>
      <c r="L46" s="54">
        <v>413.78390640366024</v>
      </c>
      <c r="M46" s="54">
        <v>5.7541774675123003</v>
      </c>
      <c r="N46" s="54">
        <v>0</v>
      </c>
      <c r="O46" s="54">
        <v>0</v>
      </c>
      <c r="Q46" s="16" t="s">
        <v>1018</v>
      </c>
      <c r="R46" s="17">
        <v>400</v>
      </c>
      <c r="S46" s="33">
        <v>3.4342350975427491</v>
      </c>
      <c r="T46" s="33">
        <v>19.51810879262548</v>
      </c>
      <c r="U46" s="33">
        <v>1.8928215353658882E-2</v>
      </c>
      <c r="V46" s="33">
        <v>0</v>
      </c>
      <c r="W46" s="33">
        <v>0</v>
      </c>
    </row>
    <row r="47" spans="9:23" ht="25.2" customHeight="1" x14ac:dyDescent="0.3">
      <c r="I47" s="16" t="s">
        <v>1018</v>
      </c>
      <c r="J47" s="18">
        <v>500</v>
      </c>
      <c r="K47" s="54">
        <v>135.75781397784371</v>
      </c>
      <c r="L47" s="54">
        <v>693.55164573667332</v>
      </c>
      <c r="M47" s="54">
        <v>6.3110844380775788</v>
      </c>
      <c r="N47" s="54">
        <v>6.3133256771044796E-2</v>
      </c>
      <c r="O47" s="54">
        <v>0</v>
      </c>
      <c r="Q47" s="16" t="s">
        <v>1018</v>
      </c>
      <c r="R47" s="18">
        <v>500</v>
      </c>
      <c r="S47" s="33">
        <v>6.170809726265623</v>
      </c>
      <c r="T47" s="33">
        <v>32.714700270597795</v>
      </c>
      <c r="U47" s="33">
        <v>2.0760146177886771E-2</v>
      </c>
      <c r="V47" s="33">
        <v>1.5783314192761199E-5</v>
      </c>
      <c r="W47" s="33">
        <v>0</v>
      </c>
    </row>
    <row r="48" spans="9:23" ht="25.2" customHeight="1" x14ac:dyDescent="0.3">
      <c r="I48" s="16" t="s">
        <v>1019</v>
      </c>
      <c r="J48" s="17">
        <v>100</v>
      </c>
      <c r="K48" s="54">
        <v>50.432747964687273</v>
      </c>
      <c r="L48" s="54">
        <v>311.31744269283257</v>
      </c>
      <c r="M48" s="54">
        <v>6.9366159852652691</v>
      </c>
      <c r="N48" s="54">
        <v>0</v>
      </c>
      <c r="O48" s="54">
        <v>4.4952082335236563</v>
      </c>
      <c r="Q48" s="16" t="s">
        <v>1019</v>
      </c>
      <c r="R48" s="17">
        <v>100</v>
      </c>
      <c r="S48" s="33">
        <v>2.2923976347585122</v>
      </c>
      <c r="T48" s="33">
        <v>14.684785032680781</v>
      </c>
      <c r="U48" s="33">
        <v>2.2817815741004176E-2</v>
      </c>
      <c r="V48" s="33">
        <v>0</v>
      </c>
      <c r="W48" s="33">
        <v>3.8751795116583245E-3</v>
      </c>
    </row>
    <row r="49" spans="9:23" ht="25.2" customHeight="1" x14ac:dyDescent="0.3">
      <c r="I49" s="16" t="s">
        <v>1019</v>
      </c>
      <c r="J49" s="18">
        <v>200</v>
      </c>
      <c r="K49" s="54">
        <v>74.357080111252799</v>
      </c>
      <c r="L49" s="54">
        <v>516.82037332194784</v>
      </c>
      <c r="M49" s="54">
        <v>8.0855803679850826</v>
      </c>
      <c r="N49" s="54">
        <v>2.05225162922591E-2</v>
      </c>
      <c r="O49" s="54">
        <v>10.766732592186173</v>
      </c>
      <c r="Q49" s="16" t="s">
        <v>1019</v>
      </c>
      <c r="R49" s="18">
        <v>200</v>
      </c>
      <c r="S49" s="33">
        <v>3.3798672777842182</v>
      </c>
      <c r="T49" s="33">
        <v>24.378319496318291</v>
      </c>
      <c r="U49" s="33">
        <v>2.6597303842056191E-2</v>
      </c>
      <c r="V49" s="33">
        <v>5.1306290730647747E-6</v>
      </c>
      <c r="W49" s="33">
        <v>9.2816660277467017E-3</v>
      </c>
    </row>
    <row r="50" spans="9:23" ht="25.2" customHeight="1" x14ac:dyDescent="0.3">
      <c r="I50" s="16" t="s">
        <v>1019</v>
      </c>
      <c r="J50" s="18">
        <v>300</v>
      </c>
      <c r="K50" s="54">
        <v>53.930863905755309</v>
      </c>
      <c r="L50" s="54">
        <v>424.9270023123442</v>
      </c>
      <c r="M50" s="54">
        <v>6.3439646052468799</v>
      </c>
      <c r="N50" s="54">
        <v>0.10300568790814219</v>
      </c>
      <c r="O50" s="54">
        <v>2.9642573249872948</v>
      </c>
      <c r="Q50" s="16" t="s">
        <v>1019</v>
      </c>
      <c r="R50" s="18">
        <v>300</v>
      </c>
      <c r="S50" s="33">
        <v>2.4514029048070594</v>
      </c>
      <c r="T50" s="33">
        <v>20.043726524167177</v>
      </c>
      <c r="U50" s="33">
        <v>2.0868304622522631E-2</v>
      </c>
      <c r="V50" s="33">
        <v>2.5751421977035547E-5</v>
      </c>
      <c r="W50" s="33">
        <v>2.5553942456787025E-3</v>
      </c>
    </row>
    <row r="51" spans="9:23" ht="25.2" customHeight="1" x14ac:dyDescent="0.3">
      <c r="I51" s="16" t="s">
        <v>1019</v>
      </c>
      <c r="J51" s="17">
        <v>400</v>
      </c>
      <c r="K51" s="54">
        <v>69.181854697834936</v>
      </c>
      <c r="L51" s="54">
        <v>532.4344272895936</v>
      </c>
      <c r="M51" s="54">
        <v>8.3332006492921025</v>
      </c>
      <c r="N51" s="54">
        <v>1.5022584400745779E-2</v>
      </c>
      <c r="O51" s="54">
        <v>9.0474390747878886</v>
      </c>
      <c r="Q51" s="16" t="s">
        <v>1019</v>
      </c>
      <c r="R51" s="17">
        <v>400</v>
      </c>
      <c r="S51" s="33">
        <v>3.144629758992497</v>
      </c>
      <c r="T51" s="33">
        <v>25.114831475924223</v>
      </c>
      <c r="U51" s="33">
        <v>2.7411844241092442E-2</v>
      </c>
      <c r="V51" s="33">
        <v>3.7556461001864447E-6</v>
      </c>
      <c r="W51" s="33">
        <v>7.7995164437826628E-3</v>
      </c>
    </row>
    <row r="52" spans="9:23" ht="25.2" customHeight="1" x14ac:dyDescent="0.3">
      <c r="I52" s="16" t="s">
        <v>1019</v>
      </c>
      <c r="J52" s="18">
        <v>500</v>
      </c>
      <c r="K52" s="54">
        <v>93.058973386704253</v>
      </c>
      <c r="L52" s="54">
        <v>594.15121209789618</v>
      </c>
      <c r="M52" s="54">
        <v>6.935659222933066</v>
      </c>
      <c r="N52" s="54">
        <v>5.6912879034704107E-2</v>
      </c>
      <c r="O52" s="54">
        <v>13.248126525825853</v>
      </c>
      <c r="Q52" s="16" t="s">
        <v>1019</v>
      </c>
      <c r="R52" s="18">
        <v>500</v>
      </c>
      <c r="S52" s="33">
        <v>4.2299533357592844</v>
      </c>
      <c r="T52" s="33">
        <v>28.026000570655476</v>
      </c>
      <c r="U52" s="33">
        <v>2.2814668496490349E-2</v>
      </c>
      <c r="V52" s="33">
        <v>1.4228219758676027E-5</v>
      </c>
      <c r="W52" s="33">
        <v>1.1420798729160218E-2</v>
      </c>
    </row>
    <row r="53" spans="9:23" ht="25.2" customHeight="1" x14ac:dyDescent="0.3">
      <c r="I53" s="16" t="s">
        <v>1021</v>
      </c>
      <c r="J53" s="17">
        <v>100</v>
      </c>
      <c r="K53" s="54">
        <v>135.68219980575114</v>
      </c>
      <c r="L53" s="54">
        <v>622.36282266914839</v>
      </c>
      <c r="M53" s="54">
        <v>0.84750672410382388</v>
      </c>
      <c r="N53" s="54">
        <v>0</v>
      </c>
      <c r="O53" s="54">
        <v>12.687487120081691</v>
      </c>
      <c r="Q53" s="16" t="s">
        <v>1021</v>
      </c>
      <c r="R53" s="17">
        <v>100</v>
      </c>
      <c r="S53" s="33">
        <v>6.1673727184432332</v>
      </c>
      <c r="T53" s="33">
        <v>29.356736918356052</v>
      </c>
      <c r="U53" s="33">
        <v>2.7878510661309996E-3</v>
      </c>
      <c r="V53" s="33">
        <v>0</v>
      </c>
      <c r="W53" s="33">
        <v>1.0937488896622147E-2</v>
      </c>
    </row>
    <row r="54" spans="9:23" ht="25.2" customHeight="1" x14ac:dyDescent="0.3">
      <c r="I54" s="16" t="s">
        <v>1021</v>
      </c>
      <c r="J54" s="18">
        <v>200</v>
      </c>
      <c r="K54" s="54">
        <v>302.19026830776988</v>
      </c>
      <c r="L54" s="54">
        <v>1369.2027134566213</v>
      </c>
      <c r="M54" s="54">
        <v>0.72733775088856123</v>
      </c>
      <c r="N54" s="54">
        <v>0</v>
      </c>
      <c r="O54" s="54">
        <v>5.7605730967960094</v>
      </c>
      <c r="Q54" s="16" t="s">
        <v>1021</v>
      </c>
      <c r="R54" s="18">
        <v>200</v>
      </c>
      <c r="S54" s="33">
        <v>13.735921286716813</v>
      </c>
      <c r="T54" s="33">
        <v>64.585033653614204</v>
      </c>
      <c r="U54" s="33">
        <v>2.3925583910807935E-3</v>
      </c>
      <c r="V54" s="33">
        <v>0</v>
      </c>
      <c r="W54" s="33">
        <v>4.9660112903413874E-3</v>
      </c>
    </row>
    <row r="55" spans="9:23" ht="25.2" customHeight="1" x14ac:dyDescent="0.3">
      <c r="I55" s="16" t="s">
        <v>1021</v>
      </c>
      <c r="J55" s="18">
        <v>300</v>
      </c>
      <c r="K55" s="54">
        <v>203.19160006702032</v>
      </c>
      <c r="L55" s="54">
        <v>999.34810741947956</v>
      </c>
      <c r="M55" s="54">
        <v>0.72665275245167715</v>
      </c>
      <c r="N55" s="54">
        <v>0</v>
      </c>
      <c r="O55" s="54">
        <v>15.336026203452709</v>
      </c>
      <c r="Q55" s="16" t="s">
        <v>1021</v>
      </c>
      <c r="R55" s="18">
        <v>300</v>
      </c>
      <c r="S55" s="33">
        <v>9.2359818212281954</v>
      </c>
      <c r="T55" s="33">
        <v>47.139061670730165</v>
      </c>
      <c r="U55" s="33">
        <v>2.3903051067489379E-3</v>
      </c>
      <c r="V55" s="33">
        <v>0</v>
      </c>
      <c r="W55" s="33">
        <v>1.3220712244355785E-2</v>
      </c>
    </row>
    <row r="56" spans="9:23" ht="25.2" customHeight="1" x14ac:dyDescent="0.3">
      <c r="I56" s="16" t="s">
        <v>1021</v>
      </c>
      <c r="J56" s="17">
        <v>400</v>
      </c>
      <c r="K56" s="54">
        <v>73.508648808746088</v>
      </c>
      <c r="L56" s="54">
        <v>499.86064887804685</v>
      </c>
      <c r="M56" s="54">
        <v>0.52882098098584895</v>
      </c>
      <c r="N56" s="54">
        <v>4.6016462301684623E-2</v>
      </c>
      <c r="O56" s="54">
        <v>0</v>
      </c>
      <c r="Q56" s="16" t="s">
        <v>1021</v>
      </c>
      <c r="R56" s="17">
        <v>400</v>
      </c>
      <c r="S56" s="33">
        <v>3.3413022185793677</v>
      </c>
      <c r="T56" s="33">
        <v>23.578332494247491</v>
      </c>
      <c r="U56" s="33">
        <v>1.7395427006113452E-3</v>
      </c>
      <c r="V56" s="33">
        <v>1.1504115575421155E-5</v>
      </c>
      <c r="W56" s="33">
        <v>0</v>
      </c>
    </row>
    <row r="57" spans="9:23" ht="25.2" customHeight="1" x14ac:dyDescent="0.3">
      <c r="I57" s="16" t="s">
        <v>1021</v>
      </c>
      <c r="J57" s="18">
        <v>500</v>
      </c>
      <c r="K57" s="54">
        <v>83.817565027863751</v>
      </c>
      <c r="L57" s="54">
        <v>683.66288212176642</v>
      </c>
      <c r="M57" s="54">
        <v>0.57420079567567173</v>
      </c>
      <c r="N57" s="54">
        <v>7.0767404431490337E-3</v>
      </c>
      <c r="O57" s="54">
        <v>0</v>
      </c>
      <c r="Q57" s="16" t="s">
        <v>1021</v>
      </c>
      <c r="R57" s="18">
        <v>500</v>
      </c>
      <c r="S57" s="33">
        <v>3.8098893194483523</v>
      </c>
      <c r="T57" s="33">
        <v>32.248249156687088</v>
      </c>
      <c r="U57" s="33">
        <v>1.8888184068278676E-3</v>
      </c>
      <c r="V57" s="33">
        <v>1.7691851107872584E-6</v>
      </c>
      <c r="W57" s="33">
        <v>0</v>
      </c>
    </row>
    <row r="58" spans="9:23" ht="25.2" customHeight="1" x14ac:dyDescent="0.3">
      <c r="I58" s="16" t="s">
        <v>1022</v>
      </c>
      <c r="J58" s="17">
        <v>100</v>
      </c>
      <c r="K58" s="54">
        <v>87.326273333303504</v>
      </c>
      <c r="L58" s="54">
        <v>325.86458039175756</v>
      </c>
      <c r="M58" s="54">
        <v>1.1620434680554508</v>
      </c>
      <c r="N58" s="54">
        <v>6.7581567567276263E-2</v>
      </c>
      <c r="O58" s="54">
        <v>4.7453647151224816</v>
      </c>
      <c r="Q58" s="16" t="s">
        <v>1022</v>
      </c>
      <c r="R58" s="17">
        <v>100</v>
      </c>
      <c r="S58" s="33">
        <v>3.9693760606047048</v>
      </c>
      <c r="T58" s="33">
        <v>15.37097077319611</v>
      </c>
      <c r="U58" s="33">
        <v>3.8225114080771409E-3</v>
      </c>
      <c r="V58" s="33">
        <v>1.6895391891819065E-5</v>
      </c>
      <c r="W58" s="33">
        <v>4.0908316509676561E-3</v>
      </c>
    </row>
    <row r="59" spans="9:23" ht="25.2" customHeight="1" x14ac:dyDescent="0.3">
      <c r="I59" s="16" t="s">
        <v>1022</v>
      </c>
      <c r="J59" s="18">
        <v>200</v>
      </c>
      <c r="K59" s="54">
        <v>84.518927258373651</v>
      </c>
      <c r="L59" s="54">
        <v>388.10555570750648</v>
      </c>
      <c r="M59" s="54">
        <v>1.3194541322505871</v>
      </c>
      <c r="N59" s="54">
        <v>-4.8748142224656465E-3</v>
      </c>
      <c r="O59" s="54">
        <v>4.6346172063058511</v>
      </c>
      <c r="Q59" s="16" t="s">
        <v>1022</v>
      </c>
      <c r="R59" s="18">
        <v>200</v>
      </c>
      <c r="S59" s="33">
        <v>3.841769420835166</v>
      </c>
      <c r="T59" s="33">
        <v>18.306865835259739</v>
      </c>
      <c r="U59" s="33">
        <v>4.3403096455611415E-3</v>
      </c>
      <c r="V59" s="33">
        <v>-1.2187035556164117E-6</v>
      </c>
      <c r="W59" s="33">
        <v>3.9953596606084919E-3</v>
      </c>
    </row>
    <row r="60" spans="9:23" ht="25.2" customHeight="1" x14ac:dyDescent="0.3">
      <c r="I60" s="16" t="s">
        <v>1022</v>
      </c>
      <c r="J60" s="18">
        <v>300</v>
      </c>
      <c r="K60" s="54">
        <v>176.93273861004295</v>
      </c>
      <c r="L60" s="54">
        <v>800.10519080208201</v>
      </c>
      <c r="M60" s="54">
        <v>1.3886696693408414</v>
      </c>
      <c r="N60" s="54">
        <v>9.1768325893263301E-3</v>
      </c>
      <c r="O60" s="54">
        <v>6.2233944314065486</v>
      </c>
      <c r="Q60" s="16" t="s">
        <v>1022</v>
      </c>
      <c r="R60" s="18">
        <v>300</v>
      </c>
      <c r="S60" s="33">
        <v>8.0423972095474063</v>
      </c>
      <c r="T60" s="33">
        <v>37.740810886890657</v>
      </c>
      <c r="U60" s="33">
        <v>4.5679923333580312E-3</v>
      </c>
      <c r="V60" s="33">
        <v>2.2942081473315825E-6</v>
      </c>
      <c r="W60" s="33">
        <v>5.3649951994884041E-3</v>
      </c>
    </row>
    <row r="61" spans="9:23" ht="25.2" customHeight="1" x14ac:dyDescent="0.3">
      <c r="I61" s="16" t="s">
        <v>1022</v>
      </c>
      <c r="J61" s="17">
        <v>400</v>
      </c>
      <c r="K61" s="54">
        <v>147.21512647960859</v>
      </c>
      <c r="L61" s="54">
        <v>700.36186358216219</v>
      </c>
      <c r="M61" s="54">
        <v>1.4996685319787697</v>
      </c>
      <c r="N61" s="54">
        <v>3.0334877032594361E-2</v>
      </c>
      <c r="O61" s="54">
        <v>13.668838693629887</v>
      </c>
      <c r="Q61" s="16" t="s">
        <v>1022</v>
      </c>
      <c r="R61" s="17">
        <v>400</v>
      </c>
      <c r="S61" s="33">
        <v>6.6915966581640269</v>
      </c>
      <c r="T61" s="33">
        <v>33.035936961422742</v>
      </c>
      <c r="U61" s="33">
        <v>4.9331201709827948E-3</v>
      </c>
      <c r="V61" s="33">
        <v>7.58371925814859E-6</v>
      </c>
      <c r="W61" s="33">
        <v>1.1783481632439557E-2</v>
      </c>
    </row>
    <row r="62" spans="9:23" ht="25.2" customHeight="1" x14ac:dyDescent="0.3">
      <c r="I62" s="16" t="s">
        <v>1022</v>
      </c>
      <c r="J62" s="18">
        <v>500</v>
      </c>
      <c r="K62" s="54">
        <v>137.40257266023727</v>
      </c>
      <c r="L62" s="54">
        <v>688.09624987201039</v>
      </c>
      <c r="M62" s="54">
        <v>1.3133171054944051</v>
      </c>
      <c r="N62" s="54">
        <v>1.4827561465081867E-2</v>
      </c>
      <c r="O62" s="54">
        <v>36.616673209965469</v>
      </c>
      <c r="Q62" s="16" t="s">
        <v>1022</v>
      </c>
      <c r="R62" s="18">
        <v>500</v>
      </c>
      <c r="S62" s="33">
        <v>6.2455714845562396</v>
      </c>
      <c r="T62" s="33">
        <v>32.457370276981621</v>
      </c>
      <c r="U62" s="33">
        <v>4.3201220575473853E-3</v>
      </c>
      <c r="V62" s="33">
        <v>3.7068903662704665E-6</v>
      </c>
      <c r="W62" s="33">
        <v>3.1566097594797816E-2</v>
      </c>
    </row>
    <row r="63" spans="9:23" ht="25.2" customHeight="1" x14ac:dyDescent="0.3">
      <c r="I63" s="16" t="s">
        <v>1023</v>
      </c>
      <c r="J63" s="17">
        <v>100</v>
      </c>
      <c r="K63" s="54">
        <v>57.726784961562124</v>
      </c>
      <c r="L63" s="54">
        <v>269.54114267126516</v>
      </c>
      <c r="M63" s="54">
        <v>1.0761632038934872</v>
      </c>
      <c r="N63" s="54">
        <v>0.25544310471468212</v>
      </c>
      <c r="O63" s="54">
        <v>189.65159297360137</v>
      </c>
      <c r="Q63" s="16" t="s">
        <v>1023</v>
      </c>
      <c r="R63" s="17">
        <v>100</v>
      </c>
      <c r="S63" s="33">
        <v>2.6239447709800965</v>
      </c>
      <c r="T63" s="33">
        <v>12.714204842984204</v>
      </c>
      <c r="U63" s="33">
        <v>3.540010539123313E-3</v>
      </c>
      <c r="V63" s="33">
        <v>6.3860776178670532E-5</v>
      </c>
      <c r="W63" s="33">
        <v>0.16349275256344944</v>
      </c>
    </row>
    <row r="64" spans="9:23" ht="25.2" customHeight="1" x14ac:dyDescent="0.3">
      <c r="I64" s="16" t="s">
        <v>1023</v>
      </c>
      <c r="J64" s="18">
        <v>200</v>
      </c>
      <c r="K64" s="54">
        <v>129.65335000457637</v>
      </c>
      <c r="L64" s="54">
        <v>653.4850792094478</v>
      </c>
      <c r="M64" s="54">
        <v>1.1217992981915268</v>
      </c>
      <c r="N64" s="54">
        <v>8.4938252862336843E-3</v>
      </c>
      <c r="O64" s="54">
        <v>2.0771710355184618</v>
      </c>
      <c r="Q64" s="16" t="s">
        <v>1023</v>
      </c>
      <c r="R64" s="18">
        <v>200</v>
      </c>
      <c r="S64" s="33">
        <v>5.8933340911171079</v>
      </c>
      <c r="T64" s="33">
        <v>30.824767887238099</v>
      </c>
      <c r="U64" s="33">
        <v>3.6901292703668646E-3</v>
      </c>
      <c r="V64" s="33">
        <v>2.1234563215584212E-6</v>
      </c>
      <c r="W64" s="33">
        <v>1.7906646857917775E-3</v>
      </c>
    </row>
    <row r="65" spans="9:23" ht="25.2" customHeight="1" x14ac:dyDescent="0.3">
      <c r="I65" s="16" t="s">
        <v>1023</v>
      </c>
      <c r="J65" s="18">
        <v>300</v>
      </c>
      <c r="K65" s="54">
        <v>208.40666545267342</v>
      </c>
      <c r="L65" s="54">
        <v>1026.6645833328209</v>
      </c>
      <c r="M65" s="54">
        <v>1.5077928641124492</v>
      </c>
      <c r="N65" s="54">
        <v>8.4102726877701886E-2</v>
      </c>
      <c r="O65" s="54">
        <v>8.6235497663522764</v>
      </c>
      <c r="Q65" s="16" t="s">
        <v>1023</v>
      </c>
      <c r="R65" s="18">
        <v>300</v>
      </c>
      <c r="S65" s="33">
        <v>9.4730302478487918</v>
      </c>
      <c r="T65" s="33">
        <v>48.427574685510415</v>
      </c>
      <c r="U65" s="33">
        <v>4.9598449477383198E-3</v>
      </c>
      <c r="V65" s="33">
        <v>2.1025681719425471E-5</v>
      </c>
      <c r="W65" s="33">
        <v>7.4340946261657551E-3</v>
      </c>
    </row>
    <row r="66" spans="9:23" ht="25.2" customHeight="1" x14ac:dyDescent="0.3">
      <c r="I66" s="16" t="s">
        <v>1023</v>
      </c>
      <c r="J66" s="17">
        <v>400</v>
      </c>
      <c r="K66" s="54">
        <v>204.63984216773409</v>
      </c>
      <c r="L66" s="54">
        <v>1147.2169953648383</v>
      </c>
      <c r="M66" s="54">
        <v>1.5400567990690557</v>
      </c>
      <c r="N66" s="54">
        <v>2.7967749982377756E-2</v>
      </c>
      <c r="O66" s="54">
        <v>9.9415088369517868</v>
      </c>
      <c r="Q66" s="16" t="s">
        <v>1023</v>
      </c>
      <c r="R66" s="17">
        <v>400</v>
      </c>
      <c r="S66" s="33">
        <v>9.301811007624277</v>
      </c>
      <c r="T66" s="33">
        <v>54.114009215322554</v>
      </c>
      <c r="U66" s="33">
        <v>5.0659763127271565E-3</v>
      </c>
      <c r="V66" s="33">
        <v>6.9919374955944385E-6</v>
      </c>
      <c r="W66" s="33">
        <v>8.5702662387515411E-3</v>
      </c>
    </row>
    <row r="67" spans="9:23" ht="25.2" customHeight="1" x14ac:dyDescent="0.3">
      <c r="I67" s="16" t="s">
        <v>1023</v>
      </c>
      <c r="J67" s="18">
        <v>500</v>
      </c>
      <c r="K67" s="54">
        <v>163.16551545252506</v>
      </c>
      <c r="L67" s="54">
        <v>958.95986284196249</v>
      </c>
      <c r="M67" s="54">
        <v>1.6629932637340403</v>
      </c>
      <c r="N67" s="54">
        <v>2.3627956030361625E-2</v>
      </c>
      <c r="O67" s="54">
        <v>5.3257606662698036</v>
      </c>
      <c r="Q67" s="16" t="s">
        <v>1023</v>
      </c>
      <c r="R67" s="18">
        <v>500</v>
      </c>
      <c r="S67" s="33">
        <v>7.4166143387511392</v>
      </c>
      <c r="T67" s="33">
        <v>45.233955794432184</v>
      </c>
      <c r="U67" s="33">
        <v>5.4703725780725007E-3</v>
      </c>
      <c r="V67" s="33">
        <v>5.9069890075904065E-6</v>
      </c>
      <c r="W67" s="33">
        <v>4.591172988163624E-3</v>
      </c>
    </row>
    <row r="68" spans="9:23" ht="25.2" customHeight="1" x14ac:dyDescent="0.3">
      <c r="I68" s="16" t="s">
        <v>1025</v>
      </c>
      <c r="J68" s="17">
        <v>100</v>
      </c>
      <c r="K68" s="54">
        <v>15.023524267949885</v>
      </c>
      <c r="L68" s="54">
        <v>35.972977135268948</v>
      </c>
      <c r="M68" s="54">
        <v>0.70980197024554748</v>
      </c>
      <c r="N68" s="54">
        <v>1.6917409162873105E-2</v>
      </c>
      <c r="O68" s="54">
        <v>1.4866344862569827</v>
      </c>
      <c r="Q68" s="16" t="s">
        <v>1025</v>
      </c>
      <c r="R68" s="17">
        <v>100</v>
      </c>
      <c r="S68" s="33">
        <v>0.68288746672499478</v>
      </c>
      <c r="T68" s="33">
        <v>1.6968385441164595</v>
      </c>
      <c r="U68" s="33">
        <v>2.3348749021235115E-3</v>
      </c>
      <c r="V68" s="33">
        <v>4.2293522907182764E-6</v>
      </c>
      <c r="W68" s="33">
        <v>1.2815814536698126E-3</v>
      </c>
    </row>
    <row r="69" spans="9:23" ht="25.2" customHeight="1" x14ac:dyDescent="0.3">
      <c r="I69" s="16" t="s">
        <v>1025</v>
      </c>
      <c r="J69" s="18">
        <v>200</v>
      </c>
      <c r="K69" s="54">
        <v>62.028628868068324</v>
      </c>
      <c r="L69" s="54">
        <v>100.3363578337072</v>
      </c>
      <c r="M69" s="54">
        <v>0.76475855376663138</v>
      </c>
      <c r="N69" s="54">
        <v>1.2157902752890878E-2</v>
      </c>
      <c r="O69" s="54">
        <v>1.9925307862303807</v>
      </c>
      <c r="Q69" s="16" t="s">
        <v>1025</v>
      </c>
      <c r="R69" s="18">
        <v>200</v>
      </c>
      <c r="S69" s="33">
        <v>2.8194831303667418</v>
      </c>
      <c r="T69" s="33">
        <v>4.7328470676276977</v>
      </c>
      <c r="U69" s="33">
        <v>2.5156531373902347E-3</v>
      </c>
      <c r="V69" s="33">
        <v>3.0394756882227195E-6</v>
      </c>
      <c r="W69" s="33">
        <v>1.7176989536468799E-3</v>
      </c>
    </row>
    <row r="70" spans="9:23" ht="25.2" customHeight="1" x14ac:dyDescent="0.3">
      <c r="I70" s="16" t="s">
        <v>1025</v>
      </c>
      <c r="J70" s="18">
        <v>300</v>
      </c>
      <c r="K70" s="54">
        <v>145.66495166723897</v>
      </c>
      <c r="L70" s="54">
        <v>215.49976646427103</v>
      </c>
      <c r="M70" s="54">
        <v>1.0632995393508635</v>
      </c>
      <c r="N70" s="54">
        <v>5.994469757634685E-2</v>
      </c>
      <c r="O70" s="54">
        <v>6.2024869581469977</v>
      </c>
      <c r="Q70" s="16" t="s">
        <v>1025</v>
      </c>
      <c r="R70" s="18">
        <v>300</v>
      </c>
      <c r="S70" s="33">
        <v>6.6211341666926806</v>
      </c>
      <c r="T70" s="33">
        <v>10.165083323786368</v>
      </c>
      <c r="U70" s="33">
        <v>3.4976958531278404E-3</v>
      </c>
      <c r="V70" s="33">
        <v>1.4986174394086713E-5</v>
      </c>
      <c r="W70" s="33">
        <v>5.3469715156439631E-3</v>
      </c>
    </row>
    <row r="71" spans="9:23" ht="25.2" customHeight="1" x14ac:dyDescent="0.3">
      <c r="I71" s="16" t="s">
        <v>1025</v>
      </c>
      <c r="J71" s="17">
        <v>400</v>
      </c>
      <c r="K71" s="54">
        <v>149.29776911355836</v>
      </c>
      <c r="L71" s="54">
        <v>207.65775782475947</v>
      </c>
      <c r="M71" s="54">
        <v>0.85254397714759622</v>
      </c>
      <c r="N71" s="54">
        <v>1.3666297185391911E-2</v>
      </c>
      <c r="O71" s="54">
        <v>5.3514017817867234</v>
      </c>
      <c r="Q71" s="16" t="s">
        <v>1025</v>
      </c>
      <c r="R71" s="17">
        <v>400</v>
      </c>
      <c r="S71" s="33">
        <v>6.7862622324344706</v>
      </c>
      <c r="T71" s="33">
        <v>9.7951772558848802</v>
      </c>
      <c r="U71" s="33">
        <v>2.804420977459198E-3</v>
      </c>
      <c r="V71" s="33">
        <v>3.4165742963479776E-6</v>
      </c>
      <c r="W71" s="33">
        <v>4.6132773980920028E-3</v>
      </c>
    </row>
    <row r="72" spans="9:23" ht="25.2" customHeight="1" x14ac:dyDescent="0.3">
      <c r="I72" s="16" t="s">
        <v>1025</v>
      </c>
      <c r="J72" s="18">
        <v>500</v>
      </c>
      <c r="K72" s="54">
        <v>164.56770737874245</v>
      </c>
      <c r="L72" s="54">
        <v>243.26652322879085</v>
      </c>
      <c r="M72" s="54">
        <v>0.94173852442877881</v>
      </c>
      <c r="N72" s="54">
        <v>6.5758909711994759E-3</v>
      </c>
      <c r="O72" s="54">
        <v>5.3826275489966502</v>
      </c>
      <c r="Q72" s="16" t="s">
        <v>1025</v>
      </c>
      <c r="R72" s="18">
        <v>500</v>
      </c>
      <c r="S72" s="33">
        <v>7.4803503353973841</v>
      </c>
      <c r="T72" s="33">
        <v>11.474836001358057</v>
      </c>
      <c r="U72" s="33">
        <v>3.0978240935157198E-3</v>
      </c>
      <c r="V72" s="33">
        <v>1.643972742799869E-6</v>
      </c>
      <c r="W72" s="33">
        <v>4.6401961629281467E-3</v>
      </c>
    </row>
    <row r="73" spans="9:23" ht="25.2" customHeight="1" x14ac:dyDescent="0.3">
      <c r="I73" s="16" t="s">
        <v>1025</v>
      </c>
      <c r="J73" s="17">
        <v>600</v>
      </c>
      <c r="K73" s="54">
        <v>72.68547665917086</v>
      </c>
      <c r="L73" s="54">
        <v>121.8728341082986</v>
      </c>
      <c r="M73" s="54">
        <v>0.51161326521817785</v>
      </c>
      <c r="N73" s="54">
        <v>0.13474264689746926</v>
      </c>
      <c r="O73" s="54">
        <v>17.19465520830089</v>
      </c>
      <c r="Q73" s="16" t="s">
        <v>1025</v>
      </c>
      <c r="R73" s="17">
        <v>600</v>
      </c>
      <c r="S73" s="33">
        <v>3.3038853026895847</v>
      </c>
      <c r="T73" s="33">
        <v>5.748718590014084</v>
      </c>
      <c r="U73" s="33">
        <v>1.6829383724282167E-3</v>
      </c>
      <c r="V73" s="33">
        <v>3.3685661724367318E-5</v>
      </c>
      <c r="W73" s="33">
        <v>1.4822978627845596E-2</v>
      </c>
    </row>
    <row r="74" spans="9:23" ht="25.2" customHeight="1" x14ac:dyDescent="0.3">
      <c r="I74" s="16" t="s">
        <v>1025</v>
      </c>
      <c r="J74" s="18">
        <v>700</v>
      </c>
      <c r="K74" s="54">
        <v>80.047701048093629</v>
      </c>
      <c r="L74" s="54">
        <v>123.84777281177021</v>
      </c>
      <c r="M74" s="54">
        <v>0.52018479397395023</v>
      </c>
      <c r="N74" s="54">
        <v>0.12131930796384044</v>
      </c>
      <c r="O74" s="54">
        <v>3.5618820001581124</v>
      </c>
      <c r="Q74" s="16" t="s">
        <v>1025</v>
      </c>
      <c r="R74" s="18">
        <v>700</v>
      </c>
      <c r="S74" s="33">
        <v>3.6385318658224377</v>
      </c>
      <c r="T74" s="33">
        <v>5.841876076026896</v>
      </c>
      <c r="U74" s="33">
        <v>1.7111341907037837E-3</v>
      </c>
      <c r="V74" s="33">
        <v>3.0329826990960111E-5</v>
      </c>
      <c r="W74" s="33">
        <v>3.0705879311707864E-3</v>
      </c>
    </row>
    <row r="75" spans="9:23" ht="25.2" customHeight="1" x14ac:dyDescent="0.3">
      <c r="I75" s="16" t="s">
        <v>1025</v>
      </c>
      <c r="J75" s="17">
        <v>800</v>
      </c>
      <c r="K75" s="54">
        <v>154.48966604241264</v>
      </c>
      <c r="L75" s="54">
        <v>226.24576185066886</v>
      </c>
      <c r="M75" s="54">
        <v>0.57222849889648819</v>
      </c>
      <c r="N75" s="54">
        <v>7.3244460193739175E-2</v>
      </c>
      <c r="O75" s="54">
        <v>1.4796803334827859</v>
      </c>
      <c r="Q75" s="16" t="s">
        <v>1025</v>
      </c>
      <c r="R75" s="17">
        <v>800</v>
      </c>
      <c r="S75" s="33">
        <v>7.0222575473823925</v>
      </c>
      <c r="T75" s="33">
        <v>10.671969898616455</v>
      </c>
      <c r="U75" s="33">
        <v>1.8823305884752902E-3</v>
      </c>
      <c r="V75" s="33">
        <v>1.8311115048434793E-5</v>
      </c>
      <c r="W75" s="33">
        <v>1.275586494381712E-3</v>
      </c>
    </row>
    <row r="76" spans="9:23" ht="25.2" customHeight="1" x14ac:dyDescent="0.3">
      <c r="I76" s="16" t="s">
        <v>1025</v>
      </c>
      <c r="J76" s="18">
        <v>900</v>
      </c>
      <c r="K76" s="54">
        <v>264.56607647304827</v>
      </c>
      <c r="L76" s="54">
        <v>371.58517426996087</v>
      </c>
      <c r="M76" s="54">
        <v>0.67398637999648048</v>
      </c>
      <c r="N76" s="54">
        <v>7.3441073325389489E-2</v>
      </c>
      <c r="O76" s="54">
        <v>11.284910779964411</v>
      </c>
      <c r="Q76" s="16" t="s">
        <v>1025</v>
      </c>
      <c r="R76" s="18">
        <v>900</v>
      </c>
      <c r="S76" s="33">
        <v>12.025730748774921</v>
      </c>
      <c r="T76" s="33">
        <v>17.527602559903812</v>
      </c>
      <c r="U76" s="33">
        <v>2.2170604605147386E-3</v>
      </c>
      <c r="V76" s="33">
        <v>1.8360268331347373E-5</v>
      </c>
      <c r="W76" s="33">
        <v>9.728371362038286E-3</v>
      </c>
    </row>
    <row r="77" spans="9:23" ht="25.2" customHeight="1" x14ac:dyDescent="0.3">
      <c r="I77" s="16" t="s">
        <v>1025</v>
      </c>
      <c r="J77" s="17">
        <v>1000</v>
      </c>
      <c r="K77" s="54">
        <v>892.59979427498752</v>
      </c>
      <c r="L77" s="54">
        <v>1235.5513239380625</v>
      </c>
      <c r="M77" s="54">
        <v>0.8054937094688428</v>
      </c>
      <c r="N77" s="54">
        <v>0.21947704653164421</v>
      </c>
      <c r="O77" s="54">
        <v>23.129374369959358</v>
      </c>
      <c r="Q77" s="16" t="s">
        <v>1025</v>
      </c>
      <c r="R77" s="17">
        <v>1000</v>
      </c>
      <c r="S77" s="33">
        <v>40.572717921590339</v>
      </c>
      <c r="T77" s="33">
        <v>58.280722827267091</v>
      </c>
      <c r="U77" s="33">
        <v>2.6496503600948774E-3</v>
      </c>
      <c r="V77" s="33">
        <v>5.4869261632911055E-5</v>
      </c>
      <c r="W77" s="33">
        <v>1.9939115836171861E-2</v>
      </c>
    </row>
    <row r="78" spans="9:23" ht="25.2" customHeight="1" x14ac:dyDescent="0.3">
      <c r="I78" s="16" t="s">
        <v>1025</v>
      </c>
      <c r="J78" s="18">
        <v>1100</v>
      </c>
      <c r="K78" s="54">
        <v>434.07575622109096</v>
      </c>
      <c r="L78" s="54">
        <v>725.00201469528065</v>
      </c>
      <c r="M78" s="54">
        <v>0.9534321320110809</v>
      </c>
      <c r="N78" s="54">
        <v>0.14465516177128568</v>
      </c>
      <c r="O78" s="54">
        <v>0</v>
      </c>
      <c r="Q78" s="16" t="s">
        <v>1025</v>
      </c>
      <c r="R78" s="18">
        <v>1100</v>
      </c>
      <c r="S78" s="33">
        <v>19.730716191867771</v>
      </c>
      <c r="T78" s="33">
        <v>34.198208240343419</v>
      </c>
      <c r="U78" s="33">
        <v>3.1362899079311873E-3</v>
      </c>
      <c r="V78" s="33">
        <v>3.6163790442821419E-5</v>
      </c>
      <c r="W78" s="33">
        <v>0</v>
      </c>
    </row>
    <row r="79" spans="9:23" ht="25.2" customHeight="1" x14ac:dyDescent="0.3">
      <c r="I79" s="16" t="s">
        <v>1025</v>
      </c>
      <c r="J79" s="17">
        <v>1200</v>
      </c>
      <c r="K79" s="54">
        <v>136.17157365960981</v>
      </c>
      <c r="L79" s="54">
        <v>266.44757030028393</v>
      </c>
      <c r="M79" s="54">
        <v>0.70433817913014141</v>
      </c>
      <c r="N79" s="54">
        <v>7.4471256644639452E-2</v>
      </c>
      <c r="O79" s="54">
        <v>0.81685405707286662</v>
      </c>
      <c r="Q79" s="16" t="s">
        <v>1025</v>
      </c>
      <c r="R79" s="17">
        <v>1200</v>
      </c>
      <c r="S79" s="33">
        <v>6.189616984527718</v>
      </c>
      <c r="T79" s="33">
        <v>12.56828161793792</v>
      </c>
      <c r="U79" s="33">
        <v>2.31690190503336E-3</v>
      </c>
      <c r="V79" s="33">
        <v>1.8617814161159865E-5</v>
      </c>
      <c r="W79" s="33">
        <v>7.0418453195936778E-4</v>
      </c>
    </row>
    <row r="80" spans="9:23" ht="25.2" customHeight="1" x14ac:dyDescent="0.3">
      <c r="I80" s="16" t="s">
        <v>1025</v>
      </c>
      <c r="J80" s="18">
        <v>1300</v>
      </c>
      <c r="K80" s="54">
        <v>23.493997603186624</v>
      </c>
      <c r="L80" s="54">
        <v>241.6223656093114</v>
      </c>
      <c r="M80" s="54">
        <v>0.2917605100976457</v>
      </c>
      <c r="N80" s="54">
        <v>5.6142868059655987E-2</v>
      </c>
      <c r="O80" s="54">
        <v>0</v>
      </c>
      <c r="Q80" s="16" t="s">
        <v>1025</v>
      </c>
      <c r="R80" s="18">
        <v>1300</v>
      </c>
      <c r="S80" s="33">
        <v>1.0679089819630283</v>
      </c>
      <c r="T80" s="33">
        <v>11.397281396665631</v>
      </c>
      <c r="U80" s="33">
        <v>9.5973852005804504E-4</v>
      </c>
      <c r="V80" s="33">
        <v>1.4035717014913997E-5</v>
      </c>
      <c r="W80" s="33">
        <v>0</v>
      </c>
    </row>
    <row r="81" spans="9:23" ht="25.2" customHeight="1" x14ac:dyDescent="0.3">
      <c r="I81" s="16" t="s">
        <v>1025</v>
      </c>
      <c r="J81" s="17">
        <v>1400</v>
      </c>
      <c r="K81" s="54">
        <v>0</v>
      </c>
      <c r="L81" s="54">
        <v>77.910983590506461</v>
      </c>
      <c r="M81" s="54">
        <v>1.4947444361937952</v>
      </c>
      <c r="N81" s="54">
        <v>3.4253767399626607E-2</v>
      </c>
      <c r="O81" s="54">
        <v>0</v>
      </c>
      <c r="Q81" s="16" t="s">
        <v>1025</v>
      </c>
      <c r="R81" s="17">
        <v>1400</v>
      </c>
      <c r="S81" s="33">
        <v>0</v>
      </c>
      <c r="T81" s="33">
        <v>3.6750463957786064</v>
      </c>
      <c r="U81" s="33">
        <v>4.9169224874795895E-3</v>
      </c>
      <c r="V81" s="33">
        <v>8.5634418499066511E-6</v>
      </c>
      <c r="W81" s="33">
        <v>0</v>
      </c>
    </row>
    <row r="82" spans="9:23" ht="25.2" customHeight="1" x14ac:dyDescent="0.3">
      <c r="I82" s="16" t="s">
        <v>1026</v>
      </c>
      <c r="J82" s="17">
        <v>100</v>
      </c>
      <c r="K82" s="54">
        <v>2.4042905152198268</v>
      </c>
      <c r="L82" s="54">
        <v>25.514630319130866</v>
      </c>
      <c r="M82" s="54">
        <v>0.44064819480155537</v>
      </c>
      <c r="N82" s="54">
        <v>0.11547294177307725</v>
      </c>
      <c r="O82" s="54">
        <v>15.666379441547983</v>
      </c>
      <c r="Q82" s="16" t="s">
        <v>1026</v>
      </c>
      <c r="R82" s="17">
        <v>100</v>
      </c>
      <c r="S82" s="33">
        <v>0.10928593250999213</v>
      </c>
      <c r="T82" s="33">
        <v>1.2035202980722106</v>
      </c>
      <c r="U82" s="33">
        <v>1.44950064079459E-3</v>
      </c>
      <c r="V82" s="33">
        <v>2.8868235443269314E-5</v>
      </c>
      <c r="W82" s="33">
        <v>1.3505499518575848E-2</v>
      </c>
    </row>
    <row r="83" spans="9:23" ht="25.2" customHeight="1" x14ac:dyDescent="0.3">
      <c r="I83" s="16" t="s">
        <v>1026</v>
      </c>
      <c r="J83" s="18">
        <v>200</v>
      </c>
      <c r="K83" s="54">
        <v>37.482222160175816</v>
      </c>
      <c r="L83" s="54">
        <v>70.349419218283288</v>
      </c>
      <c r="M83" s="54">
        <v>0.90063148810567772</v>
      </c>
      <c r="N83" s="54">
        <v>6.5874547802057606E-2</v>
      </c>
      <c r="O83" s="54">
        <v>3.0048635171072942</v>
      </c>
      <c r="Q83" s="16" t="s">
        <v>1026</v>
      </c>
      <c r="R83" s="18">
        <v>200</v>
      </c>
      <c r="S83" s="33">
        <v>1.7037373709170824</v>
      </c>
      <c r="T83" s="33">
        <v>3.3183688310510981</v>
      </c>
      <c r="U83" s="33">
        <v>2.9626035792949925E-3</v>
      </c>
      <c r="V83" s="33">
        <v>1.6468636950514402E-5</v>
      </c>
      <c r="W83" s="33">
        <v>2.5903995837131847E-3</v>
      </c>
    </row>
    <row r="84" spans="9:23" ht="25.2" customHeight="1" x14ac:dyDescent="0.3">
      <c r="I84" s="16" t="s">
        <v>1026</v>
      </c>
      <c r="J84" s="18">
        <v>300</v>
      </c>
      <c r="K84" s="54">
        <v>51.683495476832583</v>
      </c>
      <c r="L84" s="54">
        <v>109.32418485125251</v>
      </c>
      <c r="M84" s="54">
        <v>0.62374181629770697</v>
      </c>
      <c r="N84" s="54">
        <v>0.55894677851340513</v>
      </c>
      <c r="O84" s="54">
        <v>734.04742210228756</v>
      </c>
      <c r="Q84" s="16" t="s">
        <v>1026</v>
      </c>
      <c r="R84" s="18">
        <v>300</v>
      </c>
      <c r="S84" s="33">
        <v>2.349249794401481</v>
      </c>
      <c r="T84" s="33">
        <v>5.1568011722288913</v>
      </c>
      <c r="U84" s="33">
        <v>2.0517822904529835E-3</v>
      </c>
      <c r="V84" s="33">
        <v>1.3973669462835129E-4</v>
      </c>
      <c r="W84" s="33">
        <v>0.63279950181231681</v>
      </c>
    </row>
    <row r="85" spans="9:23" ht="25.2" customHeight="1" x14ac:dyDescent="0.3">
      <c r="I85" s="16" t="s">
        <v>1026</v>
      </c>
      <c r="J85" s="17">
        <v>400</v>
      </c>
      <c r="K85" s="54">
        <v>93.074402798505702</v>
      </c>
      <c r="L85" s="54">
        <v>132.7615762794938</v>
      </c>
      <c r="M85" s="54">
        <v>0.74244605339643666</v>
      </c>
      <c r="N85" s="54">
        <v>6.7981341307568693E-2</v>
      </c>
      <c r="O85" s="54">
        <v>5.1833760639405586</v>
      </c>
      <c r="Q85" s="16" t="s">
        <v>1026</v>
      </c>
      <c r="R85" s="17">
        <v>400</v>
      </c>
      <c r="S85" s="33">
        <v>4.2306546726593499</v>
      </c>
      <c r="T85" s="33">
        <v>6.2623385037497066</v>
      </c>
      <c r="U85" s="33">
        <v>2.4422567545935416E-3</v>
      </c>
      <c r="V85" s="33">
        <v>1.6995335326892175E-5</v>
      </c>
      <c r="W85" s="33">
        <v>4.4684276413280676E-3</v>
      </c>
    </row>
    <row r="86" spans="9:23" ht="25.2" customHeight="1" x14ac:dyDescent="0.3">
      <c r="I86" s="16" t="s">
        <v>1026</v>
      </c>
      <c r="J86" s="18">
        <v>500</v>
      </c>
      <c r="K86" s="54">
        <v>129.82157098052747</v>
      </c>
      <c r="L86" s="54">
        <v>193.86766876781004</v>
      </c>
      <c r="M86" s="54">
        <v>0.70889298316702354</v>
      </c>
      <c r="N86" s="54">
        <v>8.1239137700234304E-2</v>
      </c>
      <c r="O86" s="54">
        <v>2.608694649687251</v>
      </c>
      <c r="Q86" s="16" t="s">
        <v>1026</v>
      </c>
      <c r="R86" s="18">
        <v>500</v>
      </c>
      <c r="S86" s="33">
        <v>5.9009804991148851</v>
      </c>
      <c r="T86" s="33">
        <v>9.1447013569721705</v>
      </c>
      <c r="U86" s="33">
        <v>2.3318848130494197E-3</v>
      </c>
      <c r="V86" s="33">
        <v>2.0309784425058575E-5</v>
      </c>
      <c r="W86" s="33">
        <v>2.248874698006251E-3</v>
      </c>
    </row>
    <row r="87" spans="9:23" ht="25.2" customHeight="1" x14ac:dyDescent="0.3">
      <c r="I87" s="16" t="s">
        <v>1027</v>
      </c>
      <c r="J87" s="17">
        <v>100</v>
      </c>
      <c r="K87" s="54">
        <v>22.770257007648638</v>
      </c>
      <c r="L87" s="54">
        <v>37.581176595000954</v>
      </c>
      <c r="M87" s="54">
        <v>1.0028905892325397</v>
      </c>
      <c r="N87" s="54">
        <v>0.13197140877681229</v>
      </c>
      <c r="O87" s="54">
        <v>6.6307886701059982</v>
      </c>
      <c r="Q87" s="16" t="s">
        <v>1027</v>
      </c>
      <c r="R87" s="17">
        <v>100</v>
      </c>
      <c r="S87" s="33">
        <v>1.0350116821658473</v>
      </c>
      <c r="T87" s="33">
        <v>1.772697009198158</v>
      </c>
      <c r="U87" s="33">
        <v>3.2989822014228279E-3</v>
      </c>
      <c r="V87" s="33">
        <v>3.2992852194203075E-5</v>
      </c>
      <c r="W87" s="33">
        <v>5.716197129401723E-3</v>
      </c>
    </row>
    <row r="88" spans="9:23" ht="25.2" customHeight="1" x14ac:dyDescent="0.3">
      <c r="I88" s="16" t="s">
        <v>1027</v>
      </c>
      <c r="J88" s="18">
        <v>200</v>
      </c>
      <c r="K88" s="54">
        <v>50.289370536492285</v>
      </c>
      <c r="L88" s="54">
        <v>78.205246387032673</v>
      </c>
      <c r="M88" s="54">
        <v>1.1611027751363985</v>
      </c>
      <c r="N88" s="54">
        <v>0.11789631108736776</v>
      </c>
      <c r="O88" s="54">
        <v>3.8885480256782374</v>
      </c>
      <c r="Q88" s="16" t="s">
        <v>1027</v>
      </c>
      <c r="R88" s="18">
        <v>200</v>
      </c>
      <c r="S88" s="33">
        <v>2.2858804789314675</v>
      </c>
      <c r="T88" s="33">
        <v>3.688926716369465</v>
      </c>
      <c r="U88" s="33">
        <v>3.8194170234749948E-3</v>
      </c>
      <c r="V88" s="33">
        <v>2.9474077771841938E-5</v>
      </c>
      <c r="W88" s="33">
        <v>3.3521965738605494E-3</v>
      </c>
    </row>
    <row r="89" spans="9:23" ht="25.2" customHeight="1" x14ac:dyDescent="0.3">
      <c r="I89" s="16" t="s">
        <v>1027</v>
      </c>
      <c r="J89" s="18">
        <v>300</v>
      </c>
      <c r="K89" s="54">
        <v>80.358406754657324</v>
      </c>
      <c r="L89" s="54">
        <v>118.10817576216992</v>
      </c>
      <c r="M89" s="54">
        <v>1.2712401068967401</v>
      </c>
      <c r="N89" s="54">
        <v>0.43027829913542209</v>
      </c>
      <c r="O89" s="54">
        <v>8.0138499734446214</v>
      </c>
      <c r="Q89" s="16" t="s">
        <v>1027</v>
      </c>
      <c r="R89" s="18">
        <v>300</v>
      </c>
      <c r="S89" s="33">
        <v>3.652654852484424</v>
      </c>
      <c r="T89" s="33">
        <v>5.5711403661400896</v>
      </c>
      <c r="U89" s="33">
        <v>4.1817108779498031E-3</v>
      </c>
      <c r="V89" s="33">
        <v>1.0756957478385552E-4</v>
      </c>
      <c r="W89" s="33">
        <v>6.9084913564177773E-3</v>
      </c>
    </row>
    <row r="90" spans="9:23" ht="25.2" customHeight="1" x14ac:dyDescent="0.3">
      <c r="I90" s="16" t="s">
        <v>1027</v>
      </c>
      <c r="J90" s="17">
        <v>400</v>
      </c>
      <c r="K90" s="54">
        <v>127.00091793617614</v>
      </c>
      <c r="L90" s="54">
        <v>181.65305110122085</v>
      </c>
      <c r="M90" s="54">
        <v>1.3098483945748014</v>
      </c>
      <c r="N90" s="54">
        <v>0.10556099075384046</v>
      </c>
      <c r="O90" s="54">
        <v>3.2589555256914782</v>
      </c>
      <c r="Q90" s="16" t="s">
        <v>1027</v>
      </c>
      <c r="R90" s="17">
        <v>400</v>
      </c>
      <c r="S90" s="33">
        <v>5.7727689970989156</v>
      </c>
      <c r="T90" s="33">
        <v>8.5685401462840005</v>
      </c>
      <c r="U90" s="33">
        <v>4.3087118242592154E-3</v>
      </c>
      <c r="V90" s="33">
        <v>2.6390247688460115E-5</v>
      </c>
      <c r="W90" s="33">
        <v>2.8094444186995502E-3</v>
      </c>
    </row>
    <row r="91" spans="9:23" ht="25.2" customHeight="1" x14ac:dyDescent="0.3">
      <c r="I91" s="16" t="s">
        <v>1027</v>
      </c>
      <c r="J91" s="18">
        <v>500</v>
      </c>
      <c r="K91" s="54">
        <v>136.2875698895206</v>
      </c>
      <c r="L91" s="54">
        <v>194.42963607543115</v>
      </c>
      <c r="M91" s="54">
        <v>1.5322833768194137</v>
      </c>
      <c r="N91" s="54">
        <v>0.13265788301270182</v>
      </c>
      <c r="O91" s="54">
        <v>21.251569242862992</v>
      </c>
      <c r="Q91" s="16" t="s">
        <v>1027</v>
      </c>
      <c r="R91" s="18">
        <v>500</v>
      </c>
      <c r="S91" s="33">
        <v>6.1948895404327544</v>
      </c>
      <c r="T91" s="33">
        <v>9.171209248841091</v>
      </c>
      <c r="U91" s="33">
        <v>5.0404058448007029E-3</v>
      </c>
      <c r="V91" s="33">
        <v>3.3164470753175451E-5</v>
      </c>
      <c r="W91" s="33">
        <v>1.8320318312812924E-2</v>
      </c>
    </row>
    <row r="92" spans="9:23" ht="25.2" customHeight="1" x14ac:dyDescent="0.3">
      <c r="I92" s="16" t="s">
        <v>1028</v>
      </c>
      <c r="J92" s="17">
        <v>100</v>
      </c>
      <c r="K92" s="54">
        <v>15.009349124315911</v>
      </c>
      <c r="L92" s="54">
        <v>126.41410512118931</v>
      </c>
      <c r="M92" s="54">
        <v>1.7414087725701615</v>
      </c>
      <c r="N92" s="54">
        <v>0.74563882525500713</v>
      </c>
      <c r="O92" s="54">
        <v>898.00581084983696</v>
      </c>
      <c r="Q92" s="16" t="s">
        <v>1028</v>
      </c>
      <c r="R92" s="17">
        <v>100</v>
      </c>
      <c r="S92" s="33">
        <v>0.68224314201435954</v>
      </c>
      <c r="T92" s="33">
        <v>5.9629294868485516</v>
      </c>
      <c r="U92" s="33">
        <v>5.7283183308228999E-3</v>
      </c>
      <c r="V92" s="33">
        <v>1.8640970631375177E-4</v>
      </c>
      <c r="W92" s="33">
        <v>0.77414294038779052</v>
      </c>
    </row>
    <row r="93" spans="9:23" ht="25.2" customHeight="1" x14ac:dyDescent="0.3">
      <c r="I93" s="16" t="s">
        <v>1028</v>
      </c>
      <c r="J93" s="18">
        <v>200</v>
      </c>
      <c r="K93" s="54">
        <v>23.396529957166422</v>
      </c>
      <c r="L93" s="54">
        <v>43.715694385933901</v>
      </c>
      <c r="M93" s="54">
        <v>1.1187685981930489</v>
      </c>
      <c r="N93" s="54">
        <v>0.11916448555232603</v>
      </c>
      <c r="O93" s="54">
        <v>0.58021184136461812</v>
      </c>
      <c r="Q93" s="16" t="s">
        <v>1028</v>
      </c>
      <c r="R93" s="18">
        <v>200</v>
      </c>
      <c r="S93" s="33">
        <v>1.0634786344166556</v>
      </c>
      <c r="T93" s="33">
        <v>2.0620610559402781</v>
      </c>
      <c r="U93" s="33">
        <v>3.6801598624771345E-3</v>
      </c>
      <c r="V93" s="33">
        <v>2.9791121388081508E-5</v>
      </c>
      <c r="W93" s="33">
        <v>5.0018262186605014E-4</v>
      </c>
    </row>
    <row r="94" spans="9:23" ht="25.2" customHeight="1" x14ac:dyDescent="0.3">
      <c r="I94" s="16" t="s">
        <v>1028</v>
      </c>
      <c r="J94" s="18">
        <v>300</v>
      </c>
      <c r="K94" s="54">
        <v>34.046474309752774</v>
      </c>
      <c r="L94" s="54">
        <v>81.956638574333397</v>
      </c>
      <c r="M94" s="54">
        <v>2.2253751790170551</v>
      </c>
      <c r="N94" s="54">
        <v>0.47656478611222897</v>
      </c>
      <c r="O94" s="54">
        <v>429.80451265358766</v>
      </c>
      <c r="Q94" s="16" t="s">
        <v>1028</v>
      </c>
      <c r="R94" s="18">
        <v>300</v>
      </c>
      <c r="S94" s="33">
        <v>1.5475670140796716</v>
      </c>
      <c r="T94" s="33">
        <v>3.8658791780345938</v>
      </c>
      <c r="U94" s="33">
        <v>7.3203130888718918E-3</v>
      </c>
      <c r="V94" s="33">
        <v>1.1914119652805725E-4</v>
      </c>
      <c r="W94" s="33">
        <v>0.37052113159792038</v>
      </c>
    </row>
    <row r="95" spans="9:23" ht="25.2" customHeight="1" x14ac:dyDescent="0.3">
      <c r="I95" s="16" t="s">
        <v>1028</v>
      </c>
      <c r="J95" s="17">
        <v>400</v>
      </c>
      <c r="K95" s="54">
        <v>5.3780321478210364</v>
      </c>
      <c r="L95" s="54">
        <v>25.232421382099858</v>
      </c>
      <c r="M95" s="54">
        <v>0.89721855492176894</v>
      </c>
      <c r="N95" s="54">
        <v>0.15147244946286381</v>
      </c>
      <c r="O95" s="54">
        <v>0</v>
      </c>
      <c r="Q95" s="16" t="s">
        <v>1028</v>
      </c>
      <c r="R95" s="17">
        <v>400</v>
      </c>
      <c r="S95" s="33">
        <v>0.24445600671913803</v>
      </c>
      <c r="T95" s="33">
        <v>1.1902085557594271</v>
      </c>
      <c r="U95" s="33">
        <v>2.9513768254005555E-3</v>
      </c>
      <c r="V95" s="33">
        <v>3.7868112365715952E-5</v>
      </c>
      <c r="W95" s="33">
        <v>0</v>
      </c>
    </row>
    <row r="96" spans="9:23" ht="25.2" customHeight="1" x14ac:dyDescent="0.3">
      <c r="I96" s="16" t="s">
        <v>1028</v>
      </c>
      <c r="J96" s="18">
        <v>500</v>
      </c>
      <c r="K96" s="54">
        <v>14.497508590997462</v>
      </c>
      <c r="L96" s="54">
        <v>41.228774010738043</v>
      </c>
      <c r="M96" s="54">
        <v>0.95941788991284105</v>
      </c>
      <c r="N96" s="54">
        <v>0.11367130483784119</v>
      </c>
      <c r="O96" s="54">
        <v>0</v>
      </c>
      <c r="Q96" s="16" t="s">
        <v>1028</v>
      </c>
      <c r="R96" s="18">
        <v>500</v>
      </c>
      <c r="S96" s="33">
        <v>0.65897766322715734</v>
      </c>
      <c r="T96" s="33">
        <v>1.944753491072549</v>
      </c>
      <c r="U96" s="33">
        <v>3.1559799010290822E-3</v>
      </c>
      <c r="V96" s="33">
        <v>2.8417826209460296E-5</v>
      </c>
      <c r="W96" s="33">
        <v>0</v>
      </c>
    </row>
    <row r="97" spans="9:23" ht="25.2" customHeight="1" x14ac:dyDescent="0.3">
      <c r="I97" s="16" t="s">
        <v>1029</v>
      </c>
      <c r="J97" s="17">
        <v>100</v>
      </c>
      <c r="K97" s="54">
        <v>12.575408486013798</v>
      </c>
      <c r="L97" s="54">
        <v>48.518230535235062</v>
      </c>
      <c r="M97" s="54">
        <v>0.68491757285272581</v>
      </c>
      <c r="N97" s="54">
        <v>0.46030509796617641</v>
      </c>
      <c r="O97" s="54">
        <v>1.9470908660779762</v>
      </c>
      <c r="Q97" s="16" t="s">
        <v>1029</v>
      </c>
      <c r="R97" s="17">
        <v>100</v>
      </c>
      <c r="S97" s="33">
        <v>0.5716094766369908</v>
      </c>
      <c r="T97" s="33">
        <v>2.2885957799639178</v>
      </c>
      <c r="U97" s="33">
        <v>2.2530183317523876E-3</v>
      </c>
      <c r="V97" s="33">
        <v>1.150762744915441E-4</v>
      </c>
      <c r="W97" s="33">
        <v>1.6785266086879105E-3</v>
      </c>
    </row>
    <row r="98" spans="9:23" ht="25.2" customHeight="1" x14ac:dyDescent="0.3">
      <c r="I98" s="16" t="s">
        <v>1029</v>
      </c>
      <c r="J98" s="18">
        <v>200</v>
      </c>
      <c r="K98" s="54">
        <v>10.677981029395047</v>
      </c>
      <c r="L98" s="54">
        <v>47.347452274366269</v>
      </c>
      <c r="M98" s="54">
        <v>0.66744874369793983</v>
      </c>
      <c r="N98" s="54">
        <v>0.53682123354598776</v>
      </c>
      <c r="O98" s="54">
        <v>57.574283701834723</v>
      </c>
      <c r="Q98" s="16" t="s">
        <v>1029</v>
      </c>
      <c r="R98" s="18">
        <v>200</v>
      </c>
      <c r="S98" s="33">
        <v>0.48536277406341122</v>
      </c>
      <c r="T98" s="33">
        <v>2.2333703903002955</v>
      </c>
      <c r="U98" s="33">
        <v>2.1955550779537494E-3</v>
      </c>
      <c r="V98" s="33">
        <v>1.3420530838649693E-4</v>
      </c>
      <c r="W98" s="33">
        <v>4.9633003191236827E-2</v>
      </c>
    </row>
    <row r="99" spans="9:23" ht="25.2" customHeight="1" x14ac:dyDescent="0.3">
      <c r="I99" s="16" t="s">
        <v>1029</v>
      </c>
      <c r="J99" s="18">
        <v>300</v>
      </c>
      <c r="K99" s="54">
        <v>56.353034926868062</v>
      </c>
      <c r="L99" s="54">
        <v>51.874523725967457</v>
      </c>
      <c r="M99" s="54">
        <v>0.74122297735393894</v>
      </c>
      <c r="N99" s="54">
        <v>0.45284044017520808</v>
      </c>
      <c r="O99" s="54">
        <v>10.457458423758803</v>
      </c>
      <c r="Q99" s="16" t="s">
        <v>1029</v>
      </c>
      <c r="R99" s="18">
        <v>300</v>
      </c>
      <c r="S99" s="33">
        <v>2.5615015875849121</v>
      </c>
      <c r="T99" s="33">
        <v>2.4469114965078984</v>
      </c>
      <c r="U99" s="33">
        <v>2.4382334781379569E-3</v>
      </c>
      <c r="V99" s="33">
        <v>1.1321011004380201E-4</v>
      </c>
      <c r="W99" s="33">
        <v>9.0150503653093125E-3</v>
      </c>
    </row>
    <row r="100" spans="9:23" ht="25.2" customHeight="1" x14ac:dyDescent="0.3">
      <c r="I100" s="16" t="s">
        <v>1029</v>
      </c>
      <c r="J100" s="17">
        <v>400</v>
      </c>
      <c r="K100" s="54">
        <v>27.371166992648106</v>
      </c>
      <c r="L100" s="54">
        <v>80.476288106150108</v>
      </c>
      <c r="M100" s="54">
        <v>0.8175892568035964</v>
      </c>
      <c r="N100" s="54">
        <v>0.70600797477996713</v>
      </c>
      <c r="O100" s="54">
        <v>461.90121708719221</v>
      </c>
      <c r="Q100" s="16" t="s">
        <v>1029</v>
      </c>
      <c r="R100" s="17">
        <v>400</v>
      </c>
      <c r="S100" s="33">
        <v>1.2441439542112775</v>
      </c>
      <c r="T100" s="33">
        <v>3.7960513257617969</v>
      </c>
      <c r="U100" s="33">
        <v>2.6894383447486725E-3</v>
      </c>
      <c r="V100" s="33">
        <v>1.7650199369499179E-4</v>
      </c>
      <c r="W100" s="33">
        <v>0.39819070438551052</v>
      </c>
    </row>
    <row r="101" spans="9:23" ht="25.2" customHeight="1" x14ac:dyDescent="0.3">
      <c r="I101" s="16" t="s">
        <v>1029</v>
      </c>
      <c r="J101" s="18">
        <v>500</v>
      </c>
      <c r="K101" s="54">
        <v>42.352446271507269</v>
      </c>
      <c r="L101" s="54">
        <v>98.703113379199749</v>
      </c>
      <c r="M101" s="54">
        <v>0.88433695479947361</v>
      </c>
      <c r="N101" s="54">
        <v>0.66164982051403631</v>
      </c>
      <c r="O101" s="54">
        <v>34.514765540529694</v>
      </c>
      <c r="Q101" s="16" t="s">
        <v>1029</v>
      </c>
      <c r="R101" s="18">
        <v>500</v>
      </c>
      <c r="S101" s="33">
        <v>1.9251111941594212</v>
      </c>
      <c r="T101" s="33">
        <v>4.655807234867912</v>
      </c>
      <c r="U101" s="33">
        <v>2.909003140787742E-3</v>
      </c>
      <c r="V101" s="33">
        <v>1.6541245512850908E-4</v>
      </c>
      <c r="W101" s="33">
        <v>2.9754108224594563E-2</v>
      </c>
    </row>
    <row r="102" spans="9:23" ht="25.2" customHeight="1" x14ac:dyDescent="0.3">
      <c r="I102" s="16" t="s">
        <v>1030</v>
      </c>
      <c r="J102" s="17">
        <v>100</v>
      </c>
      <c r="K102" s="54">
        <v>9.3662452602465169</v>
      </c>
      <c r="L102" s="54">
        <v>87.168993333137578</v>
      </c>
      <c r="M102" s="54">
        <v>1.2122260394394095</v>
      </c>
      <c r="N102" s="54">
        <v>0.18591134860523928</v>
      </c>
      <c r="O102" s="54">
        <v>29.963156968983217</v>
      </c>
      <c r="Q102" s="16" t="s">
        <v>1030</v>
      </c>
      <c r="R102" s="17">
        <v>100</v>
      </c>
      <c r="S102" s="33">
        <v>0.42573842092029623</v>
      </c>
      <c r="T102" s="33">
        <v>4.1117449685442251</v>
      </c>
      <c r="U102" s="33">
        <v>3.9875856560506896E-3</v>
      </c>
      <c r="V102" s="33">
        <v>4.6477837151309817E-5</v>
      </c>
      <c r="W102" s="33">
        <v>2.5830307731882083E-2</v>
      </c>
    </row>
    <row r="103" spans="9:23" ht="25.2" customHeight="1" x14ac:dyDescent="0.3">
      <c r="I103" s="16" t="s">
        <v>1030</v>
      </c>
      <c r="J103" s="18">
        <v>200</v>
      </c>
      <c r="K103" s="54">
        <v>27.18340948742388</v>
      </c>
      <c r="L103" s="54">
        <v>19.529106094338392</v>
      </c>
      <c r="M103" s="54">
        <v>1.190277726509634</v>
      </c>
      <c r="N103" s="54">
        <v>0.25052600983770151</v>
      </c>
      <c r="O103" s="54">
        <v>17.549985311548884</v>
      </c>
      <c r="Q103" s="16" t="s">
        <v>1030</v>
      </c>
      <c r="R103" s="18">
        <v>200</v>
      </c>
      <c r="S103" s="33">
        <v>1.2356095221556309</v>
      </c>
      <c r="T103" s="33">
        <v>0.92118424973294288</v>
      </c>
      <c r="U103" s="33">
        <v>3.9153872582553748E-3</v>
      </c>
      <c r="V103" s="33">
        <v>6.2631502459425375E-5</v>
      </c>
      <c r="W103" s="33">
        <v>1.5129297682369728E-2</v>
      </c>
    </row>
    <row r="104" spans="9:23" ht="25.2" customHeight="1" x14ac:dyDescent="0.3">
      <c r="I104" s="16" t="s">
        <v>1030</v>
      </c>
      <c r="J104" s="18">
        <v>300</v>
      </c>
      <c r="K104" s="54">
        <v>11.728318176054065</v>
      </c>
      <c r="L104" s="54">
        <v>33.408942431443187</v>
      </c>
      <c r="M104" s="54">
        <v>1.4118839072669183</v>
      </c>
      <c r="N104" s="54">
        <v>0.30342237167826941</v>
      </c>
      <c r="O104" s="54">
        <v>16.947805174160237</v>
      </c>
      <c r="Q104" s="16" t="s">
        <v>1030</v>
      </c>
      <c r="R104" s="18">
        <v>300</v>
      </c>
      <c r="S104" s="33">
        <v>0.5331053716388211</v>
      </c>
      <c r="T104" s="33">
        <v>1.5758935109171313</v>
      </c>
      <c r="U104" s="33">
        <v>4.6443549581148625E-3</v>
      </c>
      <c r="V104" s="33">
        <v>7.5855592919567351E-5</v>
      </c>
      <c r="W104" s="33">
        <v>1.4610176874276067E-2</v>
      </c>
    </row>
    <row r="105" spans="9:23" ht="25.2" customHeight="1" x14ac:dyDescent="0.3">
      <c r="I105" s="16" t="s">
        <v>1030</v>
      </c>
      <c r="J105" s="17">
        <v>400</v>
      </c>
      <c r="K105" s="54">
        <v>34.990808235064982</v>
      </c>
      <c r="L105" s="54">
        <v>48.837434610869543</v>
      </c>
      <c r="M105" s="54">
        <v>1.8058534766467655</v>
      </c>
      <c r="N105" s="54">
        <v>0.35723398077474044</v>
      </c>
      <c r="O105" s="54">
        <v>15.339565685421725</v>
      </c>
      <c r="Q105" s="16" t="s">
        <v>1030</v>
      </c>
      <c r="R105" s="17">
        <v>400</v>
      </c>
      <c r="S105" s="33">
        <v>1.5904912834120446</v>
      </c>
      <c r="T105" s="33">
        <v>2.3036525759844122</v>
      </c>
      <c r="U105" s="33">
        <v>5.9403074889696232E-3</v>
      </c>
      <c r="V105" s="33">
        <v>8.9308495193685109E-5</v>
      </c>
      <c r="W105" s="33">
        <v>1.322376352191528E-2</v>
      </c>
    </row>
    <row r="106" spans="9:23" ht="25.2" customHeight="1" x14ac:dyDescent="0.3">
      <c r="I106" s="16" t="s">
        <v>1030</v>
      </c>
      <c r="J106" s="18">
        <v>500</v>
      </c>
      <c r="K106" s="54">
        <v>33.344818842445427</v>
      </c>
      <c r="L106" s="54">
        <v>63.137310286261339</v>
      </c>
      <c r="M106" s="54">
        <v>2.1208176143988218</v>
      </c>
      <c r="N106" s="54">
        <v>0.36100639605755092</v>
      </c>
      <c r="O106" s="54">
        <v>33.860801049068328</v>
      </c>
      <c r="Q106" s="16" t="s">
        <v>1030</v>
      </c>
      <c r="R106" s="18">
        <v>500</v>
      </c>
      <c r="S106" s="33">
        <v>1.5156735837475195</v>
      </c>
      <c r="T106" s="33">
        <v>2.9781750135028928</v>
      </c>
      <c r="U106" s="33">
        <v>6.9763737315750715E-3</v>
      </c>
      <c r="V106" s="33">
        <v>9.0251599014387734E-5</v>
      </c>
      <c r="W106" s="33">
        <v>2.9190345731955454E-2</v>
      </c>
    </row>
    <row r="107" spans="9:23" ht="25.2" customHeight="1" x14ac:dyDescent="0.3">
      <c r="I107" s="24" t="s">
        <v>1032</v>
      </c>
      <c r="J107" s="17">
        <v>100</v>
      </c>
      <c r="K107" s="54">
        <v>1.0776434609289787</v>
      </c>
      <c r="L107" s="54">
        <v>2763.5069167123847</v>
      </c>
      <c r="M107" s="54">
        <v>3.2225081306381091</v>
      </c>
      <c r="N107" s="54">
        <v>1.2625039636800395</v>
      </c>
      <c r="O107" s="54">
        <v>3258.4971216393415</v>
      </c>
      <c r="Q107" s="24" t="s">
        <v>1032</v>
      </c>
      <c r="R107" s="17">
        <v>100</v>
      </c>
      <c r="S107" s="33">
        <v>4.8983793678589939E-2</v>
      </c>
      <c r="T107" s="33">
        <v>130.35409984492378</v>
      </c>
      <c r="U107" s="33">
        <v>1.0600355692888516E-2</v>
      </c>
      <c r="V107" s="33">
        <v>3.1562599092000988E-4</v>
      </c>
      <c r="W107" s="33">
        <v>2.8090492427925358</v>
      </c>
    </row>
    <row r="108" spans="9:23" ht="25.2" customHeight="1" x14ac:dyDescent="0.3">
      <c r="I108" s="24" t="s">
        <v>1033</v>
      </c>
      <c r="J108" s="18">
        <v>200</v>
      </c>
      <c r="K108" s="54">
        <v>35.694086638297016</v>
      </c>
      <c r="L108" s="54">
        <v>7096.0588522424086</v>
      </c>
      <c r="M108" s="54">
        <v>4.302024308863837</v>
      </c>
      <c r="N108" s="54">
        <v>3.0201153038059552</v>
      </c>
      <c r="O108" s="54">
        <v>7228.6155465153388</v>
      </c>
      <c r="Q108" s="24" t="s">
        <v>1033</v>
      </c>
      <c r="R108" s="18">
        <v>200</v>
      </c>
      <c r="S108" s="33">
        <v>1.6224584835589553</v>
      </c>
      <c r="T108" s="33">
        <v>334.71975718124565</v>
      </c>
      <c r="U108" s="33">
        <v>1.4151395752841569E-2</v>
      </c>
      <c r="V108" s="33">
        <v>7.5502882595148877E-4</v>
      </c>
      <c r="W108" s="33">
        <v>6.231565126306327</v>
      </c>
    </row>
    <row r="109" spans="9:23" ht="25.2" customHeight="1" x14ac:dyDescent="0.3">
      <c r="I109" s="24" t="s">
        <v>1034</v>
      </c>
      <c r="J109" s="18">
        <v>300</v>
      </c>
      <c r="K109" s="54">
        <v>59.077927252867113</v>
      </c>
      <c r="L109" s="54">
        <v>2975.5455399824605</v>
      </c>
      <c r="M109" s="54">
        <v>4.3196961841302874</v>
      </c>
      <c r="N109" s="54">
        <v>1.4449124551176857</v>
      </c>
      <c r="O109" s="54">
        <v>3357.6829875932603</v>
      </c>
      <c r="Q109" s="24" t="s">
        <v>1034</v>
      </c>
      <c r="R109" s="18">
        <v>300</v>
      </c>
      <c r="S109" s="33">
        <v>2.685360329675778</v>
      </c>
      <c r="T109" s="33">
        <v>140.35592169728585</v>
      </c>
      <c r="U109" s="33">
        <v>1.4209526921481209E-2</v>
      </c>
      <c r="V109" s="33">
        <v>3.6122811377942144E-4</v>
      </c>
      <c r="W109" s="33">
        <v>2.8945542996493625</v>
      </c>
    </row>
    <row r="110" spans="9:23" ht="25.2" customHeight="1" x14ac:dyDescent="0.3">
      <c r="I110" s="24" t="s">
        <v>1035</v>
      </c>
      <c r="J110" s="17">
        <v>400</v>
      </c>
      <c r="K110" s="54">
        <v>34.125166514027242</v>
      </c>
      <c r="L110" s="54">
        <v>869.66132324280977</v>
      </c>
      <c r="M110" s="54">
        <v>4.0616323596714174</v>
      </c>
      <c r="N110" s="54">
        <v>0.57594107385281701</v>
      </c>
      <c r="O110" s="54">
        <v>1210.436884064799</v>
      </c>
      <c r="Q110" s="24" t="s">
        <v>1035</v>
      </c>
      <c r="R110" s="17">
        <v>400</v>
      </c>
      <c r="S110" s="33">
        <v>1.5511439324557836</v>
      </c>
      <c r="T110" s="33">
        <v>41.02176053032121</v>
      </c>
      <c r="U110" s="33">
        <v>1.3360632762077031E-2</v>
      </c>
      <c r="V110" s="33">
        <v>1.4398526846320426E-4</v>
      </c>
      <c r="W110" s="33">
        <v>1.0434800724696542</v>
      </c>
    </row>
    <row r="111" spans="9:23" ht="25.2" customHeight="1" x14ac:dyDescent="0.3">
      <c r="I111" s="24" t="s">
        <v>1036</v>
      </c>
      <c r="J111" s="18">
        <v>500</v>
      </c>
      <c r="K111" s="54">
        <v>10.406871728598578</v>
      </c>
      <c r="L111" s="54">
        <v>305.97442582810135</v>
      </c>
      <c r="M111" s="54">
        <v>2.7656812336635355</v>
      </c>
      <c r="N111" s="54">
        <v>0.22706204686356121</v>
      </c>
      <c r="O111" s="54">
        <v>390.76308738882346</v>
      </c>
      <c r="Q111" s="24" t="s">
        <v>1036</v>
      </c>
      <c r="R111" s="18">
        <v>500</v>
      </c>
      <c r="S111" s="33">
        <v>0.47303962402720806</v>
      </c>
      <c r="T111" s="33">
        <v>14.432755935287798</v>
      </c>
      <c r="U111" s="33">
        <v>9.0976356370511043E-3</v>
      </c>
      <c r="V111" s="33">
        <v>5.6765511715890306E-5</v>
      </c>
      <c r="W111" s="33">
        <v>0.33686473050760646</v>
      </c>
    </row>
    <row r="112" spans="9:23" ht="25.2" customHeight="1" x14ac:dyDescent="0.3">
      <c r="I112" s="24" t="s">
        <v>1037</v>
      </c>
      <c r="J112" s="17">
        <v>100</v>
      </c>
      <c r="K112" s="54">
        <v>5.6972750108374397</v>
      </c>
      <c r="L112" s="54">
        <v>1811.0026329090981</v>
      </c>
      <c r="M112" s="54">
        <v>2.5716538808152571</v>
      </c>
      <c r="N112" s="54">
        <v>1.6765609003794086</v>
      </c>
      <c r="O112" s="54">
        <v>6907.4559923215884</v>
      </c>
      <c r="Q112" s="24" t="s">
        <v>1037</v>
      </c>
      <c r="R112" s="17">
        <v>100</v>
      </c>
      <c r="S112" s="33">
        <v>0.25896704594715636</v>
      </c>
      <c r="T112" s="33">
        <v>85.424652495712166</v>
      </c>
      <c r="U112" s="33">
        <v>8.4593877658396613E-3</v>
      </c>
      <c r="V112" s="33">
        <v>4.1914022509485218E-4</v>
      </c>
      <c r="W112" s="33">
        <v>5.9547034416565419</v>
      </c>
    </row>
    <row r="113" spans="9:23" ht="25.2" customHeight="1" x14ac:dyDescent="0.3">
      <c r="I113" s="24" t="s">
        <v>1038</v>
      </c>
      <c r="J113" s="18">
        <v>200</v>
      </c>
      <c r="K113" s="54">
        <v>15.7468919741722</v>
      </c>
      <c r="L113" s="54">
        <v>1028.0020487757336</v>
      </c>
      <c r="M113" s="54">
        <v>2.6473029205858962</v>
      </c>
      <c r="N113" s="54">
        <v>1.01068901760343</v>
      </c>
      <c r="O113" s="54">
        <v>3717.5155156981164</v>
      </c>
      <c r="Q113" s="24" t="s">
        <v>1038</v>
      </c>
      <c r="R113" s="18">
        <v>200</v>
      </c>
      <c r="S113" s="33">
        <v>0.71576781700782732</v>
      </c>
      <c r="T113" s="33">
        <v>48.490662678100634</v>
      </c>
      <c r="U113" s="33">
        <v>8.7082332914009738E-3</v>
      </c>
      <c r="V113" s="33">
        <v>2.5267225440085749E-4</v>
      </c>
      <c r="W113" s="33">
        <v>3.2047547549121691</v>
      </c>
    </row>
    <row r="114" spans="9:23" ht="25.2" customHeight="1" x14ac:dyDescent="0.3">
      <c r="I114" s="24" t="s">
        <v>1039</v>
      </c>
      <c r="J114" s="18">
        <v>300</v>
      </c>
      <c r="K114" s="54">
        <v>38.415627861152821</v>
      </c>
      <c r="L114" s="54">
        <v>329.44643709096766</v>
      </c>
      <c r="M114" s="54">
        <v>2.4185917493594253</v>
      </c>
      <c r="N114" s="54">
        <v>0.43499237998098972</v>
      </c>
      <c r="O114" s="54">
        <v>1429.2837341864797</v>
      </c>
      <c r="Q114" s="24" t="s">
        <v>1039</v>
      </c>
      <c r="R114" s="18">
        <v>300</v>
      </c>
      <c r="S114" s="33">
        <v>1.7461649027796737</v>
      </c>
      <c r="T114" s="33">
        <v>15.53992627787583</v>
      </c>
      <c r="U114" s="33">
        <v>7.9558939123665299E-3</v>
      </c>
      <c r="V114" s="33">
        <v>1.0874809499524742E-4</v>
      </c>
      <c r="W114" s="33">
        <v>1.2321411501607584</v>
      </c>
    </row>
    <row r="115" spans="9:23" ht="25.2" customHeight="1" x14ac:dyDescent="0.3">
      <c r="I115" s="24" t="s">
        <v>1040</v>
      </c>
      <c r="J115" s="17">
        <v>400</v>
      </c>
      <c r="K115" s="54">
        <v>2.2727428041386379</v>
      </c>
      <c r="L115" s="54">
        <v>66.881835027992665</v>
      </c>
      <c r="M115" s="54">
        <v>1.2491493280869537</v>
      </c>
      <c r="N115" s="54">
        <v>0.14274877331996222</v>
      </c>
      <c r="O115" s="54">
        <v>522.09944514609936</v>
      </c>
      <c r="Q115" s="24" t="s">
        <v>1040</v>
      </c>
      <c r="R115" s="17">
        <v>400</v>
      </c>
      <c r="S115" s="33">
        <v>0.10330649109721081</v>
      </c>
      <c r="T115" s="33">
        <v>3.1548035390562572</v>
      </c>
      <c r="U115" s="33">
        <v>4.1090438423912953E-3</v>
      </c>
      <c r="V115" s="33">
        <v>3.5687193329990552E-5</v>
      </c>
      <c r="W115" s="33">
        <v>0.45008572857422358</v>
      </c>
    </row>
    <row r="116" spans="9:23" ht="25.2" customHeight="1" x14ac:dyDescent="0.3">
      <c r="I116" s="24" t="s">
        <v>1041</v>
      </c>
      <c r="J116" s="18">
        <v>500</v>
      </c>
      <c r="K116" s="54">
        <v>-0.8216005879114141</v>
      </c>
      <c r="L116" s="54">
        <v>10.405126697040044</v>
      </c>
      <c r="M116" s="54">
        <v>0.4567015713431018</v>
      </c>
      <c r="N116" s="54">
        <v>3.2855464303560747E-2</v>
      </c>
      <c r="O116" s="54">
        <v>126.60167912295897</v>
      </c>
      <c r="Q116" s="24" t="s">
        <v>1041</v>
      </c>
      <c r="R116" s="18">
        <v>500</v>
      </c>
      <c r="S116" s="33">
        <v>-3.7345481268700638E-2</v>
      </c>
      <c r="T116" s="33">
        <v>0.49080786306792656</v>
      </c>
      <c r="U116" s="33">
        <v>1.5023078004707297E-3</v>
      </c>
      <c r="V116" s="33">
        <v>8.213866075890186E-6</v>
      </c>
      <c r="W116" s="33">
        <v>0.10913937855427497</v>
      </c>
    </row>
    <row r="117" spans="9:23" ht="25.2" customHeight="1" x14ac:dyDescent="0.3">
      <c r="I117" s="24" t="s">
        <v>1042</v>
      </c>
      <c r="J117" s="17">
        <v>100</v>
      </c>
      <c r="K117" s="54">
        <v>0</v>
      </c>
      <c r="L117" s="54">
        <v>0</v>
      </c>
      <c r="M117" s="54">
        <v>2.9006741777087051</v>
      </c>
      <c r="N117" s="54">
        <v>1.0550100002596468</v>
      </c>
      <c r="O117" s="54">
        <v>4180.1698289764345</v>
      </c>
      <c r="Q117" s="24" t="s">
        <v>1042</v>
      </c>
      <c r="R117" s="17">
        <v>100</v>
      </c>
      <c r="S117" s="33">
        <v>0</v>
      </c>
      <c r="T117" s="33">
        <v>0</v>
      </c>
      <c r="U117" s="33">
        <v>9.5416913740417938E-3</v>
      </c>
      <c r="V117" s="33">
        <v>2.637525000649117E-4</v>
      </c>
      <c r="W117" s="33">
        <v>3.6035946801520988</v>
      </c>
    </row>
    <row r="118" spans="9:23" ht="25.2" customHeight="1" x14ac:dyDescent="0.3">
      <c r="I118" s="24" t="s">
        <v>1043</v>
      </c>
      <c r="J118" s="18">
        <v>200</v>
      </c>
      <c r="K118" s="54">
        <v>0</v>
      </c>
      <c r="L118" s="54">
        <v>726.32412598124529</v>
      </c>
      <c r="M118" s="54">
        <v>3.195229501905124</v>
      </c>
      <c r="N118" s="54">
        <v>1.0376378372702328</v>
      </c>
      <c r="O118" s="54">
        <v>4084.3020988454691</v>
      </c>
      <c r="Q118" s="24" t="s">
        <v>1043</v>
      </c>
      <c r="R118" s="18">
        <v>200</v>
      </c>
      <c r="S118" s="33">
        <v>0</v>
      </c>
      <c r="T118" s="33">
        <v>34.260571980247413</v>
      </c>
      <c r="U118" s="33">
        <v>1.0510623361530013E-2</v>
      </c>
      <c r="V118" s="33">
        <v>2.5940945931755821E-4</v>
      </c>
      <c r="W118" s="33">
        <v>3.5209500852116111</v>
      </c>
    </row>
    <row r="119" spans="9:23" ht="25.2" customHeight="1" x14ac:dyDescent="0.3">
      <c r="I119" s="24" t="s">
        <v>1044</v>
      </c>
      <c r="J119" s="18">
        <v>300</v>
      </c>
      <c r="K119" s="54">
        <v>32.540513109912659</v>
      </c>
      <c r="L119" s="54">
        <v>677.95661234209911</v>
      </c>
      <c r="M119" s="54">
        <v>2.8964247294123995</v>
      </c>
      <c r="N119" s="54">
        <v>0.85790606419218862</v>
      </c>
      <c r="O119" s="54">
        <v>3642.024136085096</v>
      </c>
      <c r="Q119" s="24" t="s">
        <v>1044</v>
      </c>
      <c r="R119" s="18">
        <v>300</v>
      </c>
      <c r="S119" s="33">
        <v>1.4791142322687572</v>
      </c>
      <c r="T119" s="33">
        <v>31.979085487834858</v>
      </c>
      <c r="U119" s="33">
        <v>9.5277129256986833E-3</v>
      </c>
      <c r="V119" s="33">
        <v>2.1447651604804716E-4</v>
      </c>
      <c r="W119" s="33">
        <v>3.1396759793837035</v>
      </c>
    </row>
    <row r="120" spans="9:23" ht="25.2" customHeight="1" x14ac:dyDescent="0.3">
      <c r="I120" s="24" t="s">
        <v>1045</v>
      </c>
      <c r="J120" s="17">
        <v>400</v>
      </c>
      <c r="K120" s="54">
        <v>18.344115412045163</v>
      </c>
      <c r="L120" s="54">
        <v>362.13550611701675</v>
      </c>
      <c r="M120" s="54">
        <v>2.9601823652094605</v>
      </c>
      <c r="N120" s="54">
        <v>0.44763842085949535</v>
      </c>
      <c r="O120" s="54">
        <v>1863.9513954579552</v>
      </c>
      <c r="Q120" s="24" t="s">
        <v>1045</v>
      </c>
      <c r="R120" s="17">
        <v>400</v>
      </c>
      <c r="S120" s="33">
        <v>0.83382342782023466</v>
      </c>
      <c r="T120" s="33">
        <v>17.081863496085692</v>
      </c>
      <c r="U120" s="33">
        <v>9.7374419908205934E-3</v>
      </c>
      <c r="V120" s="33">
        <v>1.1190960521487384E-4</v>
      </c>
      <c r="W120" s="33">
        <v>1.606854651256858</v>
      </c>
    </row>
    <row r="121" spans="9:23" ht="25.2" customHeight="1" x14ac:dyDescent="0.3">
      <c r="I121" s="24" t="s">
        <v>1046</v>
      </c>
      <c r="J121" s="18">
        <v>500</v>
      </c>
      <c r="K121" s="54">
        <v>0</v>
      </c>
      <c r="L121" s="54">
        <v>97.065491899194541</v>
      </c>
      <c r="M121" s="54">
        <v>0.85633451452734632</v>
      </c>
      <c r="N121" s="54">
        <v>8.6567914351774813E-2</v>
      </c>
      <c r="O121" s="54">
        <v>542.04174823992753</v>
      </c>
      <c r="Q121" s="24" t="s">
        <v>1046</v>
      </c>
      <c r="R121" s="18">
        <v>500</v>
      </c>
      <c r="S121" s="33">
        <v>0</v>
      </c>
      <c r="T121" s="33">
        <v>4.5785609386412514</v>
      </c>
      <c r="U121" s="33">
        <v>2.8168898504189023E-3</v>
      </c>
      <c r="V121" s="33">
        <v>2.1641978587943702E-5</v>
      </c>
      <c r="W121" s="33">
        <v>0.4672773691723513</v>
      </c>
    </row>
    <row r="122" spans="9:23" ht="25.2" customHeight="1" x14ac:dyDescent="0.3">
      <c r="I122" s="24" t="s">
        <v>10</v>
      </c>
      <c r="J122" s="17">
        <v>100</v>
      </c>
      <c r="K122" s="54">
        <v>1.8707019195347632</v>
      </c>
      <c r="L122" s="54">
        <v>835.12738578897688</v>
      </c>
      <c r="M122" s="54">
        <v>3.7345922421796915</v>
      </c>
      <c r="N122" s="54">
        <v>3.3582217235265355</v>
      </c>
      <c r="O122" s="54">
        <v>9181.22808608388</v>
      </c>
      <c r="Q122" s="24" t="s">
        <v>10</v>
      </c>
      <c r="R122" s="17">
        <v>100</v>
      </c>
      <c r="S122" s="33">
        <v>8.5031905433398322E-2</v>
      </c>
      <c r="T122" s="33">
        <v>39.392801216461166</v>
      </c>
      <c r="U122" s="33">
        <v>1.228484290190688E-2</v>
      </c>
      <c r="V122" s="33">
        <v>8.3955543088163383E-4</v>
      </c>
      <c r="W122" s="33">
        <v>7.9148517983481721</v>
      </c>
    </row>
    <row r="123" spans="9:23" ht="25.2" customHeight="1" x14ac:dyDescent="0.3">
      <c r="I123" s="24" t="s">
        <v>11</v>
      </c>
      <c r="J123" s="18">
        <v>200</v>
      </c>
      <c r="K123" s="54">
        <v>55.855513377254141</v>
      </c>
      <c r="L123" s="54">
        <v>1384.3212620596419</v>
      </c>
      <c r="M123" s="54">
        <v>5.1177116099223356</v>
      </c>
      <c r="N123" s="54">
        <v>6.7146593355299933</v>
      </c>
      <c r="O123" s="54">
        <v>17716.130152683036</v>
      </c>
      <c r="Q123" s="24" t="s">
        <v>11</v>
      </c>
      <c r="R123" s="18">
        <v>200</v>
      </c>
      <c r="S123" s="33">
        <v>2.53888697169337</v>
      </c>
      <c r="T123" s="33">
        <v>65.298172738662345</v>
      </c>
      <c r="U123" s="33">
        <v>1.6834577664218208E-2</v>
      </c>
      <c r="V123" s="33">
        <v>1.6786648338824983E-3</v>
      </c>
      <c r="W123" s="33">
        <v>15.272525993692271</v>
      </c>
    </row>
    <row r="124" spans="9:23" ht="25.2" customHeight="1" x14ac:dyDescent="0.3">
      <c r="I124" s="24" t="s">
        <v>12</v>
      </c>
      <c r="J124" s="18">
        <v>300</v>
      </c>
      <c r="K124" s="54">
        <v>13.711068468015439</v>
      </c>
      <c r="L124" s="54">
        <v>462.74292192176949</v>
      </c>
      <c r="M124" s="54">
        <v>5.3709757567518936</v>
      </c>
      <c r="N124" s="54">
        <v>5.7014027336874769</v>
      </c>
      <c r="O124" s="54">
        <v>6343.3768486211538</v>
      </c>
      <c r="Q124" s="24" t="s">
        <v>12</v>
      </c>
      <c r="R124" s="18">
        <v>300</v>
      </c>
      <c r="S124" s="33">
        <v>0.62323038490979266</v>
      </c>
      <c r="T124" s="33">
        <v>21.827496317064597</v>
      </c>
      <c r="U124" s="33">
        <v>1.7667683410368073E-2</v>
      </c>
      <c r="V124" s="33">
        <v>1.4253506834218692E-3</v>
      </c>
      <c r="W124" s="33">
        <v>5.4684283177768567</v>
      </c>
    </row>
    <row r="125" spans="9:23" ht="25.2" customHeight="1" x14ac:dyDescent="0.3">
      <c r="I125" s="24" t="s">
        <v>13</v>
      </c>
      <c r="J125" s="17">
        <v>400</v>
      </c>
      <c r="K125" s="54">
        <v>0</v>
      </c>
      <c r="L125" s="54">
        <v>43.135992722689465</v>
      </c>
      <c r="M125" s="54">
        <v>2.485247143241446</v>
      </c>
      <c r="N125" s="54">
        <v>2.9017149593890998</v>
      </c>
      <c r="O125" s="54">
        <v>4183.2901346937733</v>
      </c>
      <c r="Q125" s="24" t="s">
        <v>13</v>
      </c>
      <c r="R125" s="17">
        <v>400</v>
      </c>
      <c r="S125" s="33">
        <v>0</v>
      </c>
      <c r="T125" s="33">
        <v>2.0347166378627102</v>
      </c>
      <c r="U125" s="33">
        <v>8.1751550764521258E-3</v>
      </c>
      <c r="V125" s="33">
        <v>7.2542873984727499E-4</v>
      </c>
      <c r="W125" s="33">
        <v>3.6062845988739425</v>
      </c>
    </row>
    <row r="126" spans="9:23" ht="25.2" customHeight="1" x14ac:dyDescent="0.3">
      <c r="I126" s="24" t="s">
        <v>14</v>
      </c>
      <c r="J126" s="18">
        <v>500</v>
      </c>
      <c r="K126" s="54">
        <v>0</v>
      </c>
      <c r="L126" s="54">
        <v>0.82817809764031869</v>
      </c>
      <c r="M126" s="54">
        <v>0.34338043986682848</v>
      </c>
      <c r="N126" s="54">
        <v>0.2565457971148552</v>
      </c>
      <c r="O126" s="54">
        <v>201.13175543890989</v>
      </c>
      <c r="Q126" s="24" t="s">
        <v>14</v>
      </c>
      <c r="R126" s="18">
        <v>500</v>
      </c>
      <c r="S126" s="33">
        <v>0</v>
      </c>
      <c r="T126" s="33">
        <v>3.9065004605675406E-2</v>
      </c>
      <c r="U126" s="33">
        <v>1.1295409206145673E-3</v>
      </c>
      <c r="V126" s="33">
        <v>6.4136449278713798E-5</v>
      </c>
      <c r="W126" s="33">
        <v>0.17338944434388784</v>
      </c>
    </row>
    <row r="127" spans="9:23" ht="25.2" customHeight="1" x14ac:dyDescent="0.3">
      <c r="I127" s="10" t="s">
        <v>15</v>
      </c>
      <c r="J127" s="17">
        <v>100</v>
      </c>
      <c r="K127" s="54">
        <v>9.3069284859763144</v>
      </c>
      <c r="L127" s="54">
        <v>1365.4246469780021</v>
      </c>
      <c r="M127" s="54">
        <v>3.2239307043307068</v>
      </c>
      <c r="N127" s="54">
        <v>5.7448848490762634</v>
      </c>
      <c r="O127" s="54">
        <v>22138.643938348352</v>
      </c>
      <c r="Q127" s="10" t="s">
        <v>15</v>
      </c>
      <c r="R127" s="17">
        <v>100</v>
      </c>
      <c r="S127" s="33">
        <v>0.42304220390801428</v>
      </c>
      <c r="T127" s="33">
        <v>64.406822970660471</v>
      </c>
      <c r="U127" s="33">
        <v>1.0605035211614168E-2</v>
      </c>
      <c r="V127" s="33">
        <v>1.4362212122690659E-3</v>
      </c>
      <c r="W127" s="33">
        <v>19.08503787788651</v>
      </c>
    </row>
    <row r="128" spans="9:23" ht="25.2" customHeight="1" x14ac:dyDescent="0.3">
      <c r="I128" s="10" t="s">
        <v>16</v>
      </c>
      <c r="J128" s="18">
        <v>200</v>
      </c>
      <c r="K128" s="54">
        <v>1.7346068536524193</v>
      </c>
      <c r="L128" s="54">
        <v>165.28590249394381</v>
      </c>
      <c r="M128" s="54">
        <v>2.6953316423696343</v>
      </c>
      <c r="N128" s="54">
        <v>11.945475108914653</v>
      </c>
      <c r="O128" s="54">
        <v>12751.722179109727</v>
      </c>
      <c r="Q128" s="10" t="s">
        <v>16</v>
      </c>
      <c r="R128" s="18">
        <v>200</v>
      </c>
      <c r="S128" s="33">
        <v>7.8845766075109971E-2</v>
      </c>
      <c r="T128" s="33">
        <v>7.7965048346199897</v>
      </c>
      <c r="U128" s="33">
        <v>8.8662225077948496E-3</v>
      </c>
      <c r="V128" s="33">
        <v>2.9863687772286635E-3</v>
      </c>
      <c r="W128" s="33">
        <v>10.992863947508386</v>
      </c>
    </row>
    <row r="129" spans="9:23" ht="25.2" customHeight="1" x14ac:dyDescent="0.3">
      <c r="I129" s="10" t="s">
        <v>17</v>
      </c>
      <c r="J129" s="18">
        <v>300</v>
      </c>
      <c r="K129" s="54">
        <v>1.8984614330777729</v>
      </c>
      <c r="L129" s="54">
        <v>116.24936033043211</v>
      </c>
      <c r="M129" s="54">
        <v>2.1457986551113168</v>
      </c>
      <c r="N129" s="54">
        <v>6.9495296587059423</v>
      </c>
      <c r="O129" s="54">
        <v>6073.9098837258343</v>
      </c>
      <c r="Q129" s="10" t="s">
        <v>17</v>
      </c>
      <c r="R129" s="18">
        <v>300</v>
      </c>
      <c r="S129" s="33">
        <v>8.6293701503535131E-2</v>
      </c>
      <c r="T129" s="33">
        <v>5.4834603929449104</v>
      </c>
      <c r="U129" s="33">
        <v>7.0585482076030159E-3</v>
      </c>
      <c r="V129" s="33">
        <v>1.7373824146764856E-3</v>
      </c>
      <c r="W129" s="33">
        <v>5.2361292101084782</v>
      </c>
    </row>
    <row r="130" spans="9:23" ht="25.2" customHeight="1" x14ac:dyDescent="0.3">
      <c r="I130" s="10" t="s">
        <v>18</v>
      </c>
      <c r="J130" s="17">
        <v>400</v>
      </c>
      <c r="K130" s="54">
        <v>8.5684406839663527</v>
      </c>
      <c r="L130" s="54">
        <v>35.965152407796374</v>
      </c>
      <c r="M130" s="54">
        <v>1.2750693080939952</v>
      </c>
      <c r="N130" s="54">
        <v>5.1148686079939445</v>
      </c>
      <c r="O130" s="54">
        <v>5828.4705229506808</v>
      </c>
      <c r="Q130" s="10" t="s">
        <v>18</v>
      </c>
      <c r="R130" s="17">
        <v>400</v>
      </c>
      <c r="S130" s="33">
        <v>0.38947457654392514</v>
      </c>
      <c r="T130" s="33">
        <v>1.6964694531979418</v>
      </c>
      <c r="U130" s="33">
        <v>4.1943069345197212E-3</v>
      </c>
      <c r="V130" s="33">
        <v>1.278717151998486E-3</v>
      </c>
      <c r="W130" s="33">
        <v>5.0245435542678285</v>
      </c>
    </row>
    <row r="131" spans="9:23" ht="25.2" customHeight="1" x14ac:dyDescent="0.3">
      <c r="I131" s="10" t="s">
        <v>19</v>
      </c>
      <c r="J131" s="18">
        <v>500</v>
      </c>
      <c r="K131" s="54">
        <v>0</v>
      </c>
      <c r="L131" s="54">
        <v>16.67561016606043</v>
      </c>
      <c r="M131" s="54">
        <v>0.2333639673835663</v>
      </c>
      <c r="N131" s="54">
        <v>1.2244729101647125</v>
      </c>
      <c r="O131" s="54">
        <v>1803.6747326848749</v>
      </c>
      <c r="Q131" s="10" t="s">
        <v>19</v>
      </c>
      <c r="R131" s="18">
        <v>500</v>
      </c>
      <c r="S131" s="33">
        <v>0</v>
      </c>
      <c r="T131" s="33">
        <v>0.78658538519152965</v>
      </c>
      <c r="U131" s="33">
        <v>7.6764462955120495E-4</v>
      </c>
      <c r="V131" s="33">
        <v>3.0611822754117815E-4</v>
      </c>
      <c r="W131" s="33">
        <v>1.5548920109352371</v>
      </c>
    </row>
    <row r="132" spans="9:23" ht="25.2" customHeight="1" x14ac:dyDescent="0.3">
      <c r="I132" s="10" t="s">
        <v>20</v>
      </c>
      <c r="J132" s="17">
        <v>100</v>
      </c>
      <c r="K132" s="54">
        <v>0</v>
      </c>
      <c r="L132" s="54">
        <v>656.36725078786014</v>
      </c>
      <c r="M132" s="54">
        <v>3.4474623980512722</v>
      </c>
      <c r="N132" s="54">
        <v>8.3018681778303485</v>
      </c>
      <c r="O132" s="54">
        <v>9124.3266783026556</v>
      </c>
      <c r="Q132" s="10" t="s">
        <v>20</v>
      </c>
      <c r="R132" s="17">
        <v>100</v>
      </c>
      <c r="S132" s="33">
        <v>0</v>
      </c>
      <c r="T132" s="33">
        <v>30.960719376785853</v>
      </c>
      <c r="U132" s="33">
        <v>1.1340336835694974E-2</v>
      </c>
      <c r="V132" s="33">
        <v>2.075467044457587E-3</v>
      </c>
      <c r="W132" s="33">
        <v>7.8657988606057376</v>
      </c>
    </row>
    <row r="133" spans="9:23" ht="25.2" customHeight="1" x14ac:dyDescent="0.3">
      <c r="I133" s="10" t="s">
        <v>21</v>
      </c>
      <c r="J133" s="18">
        <v>200</v>
      </c>
      <c r="K133" s="54">
        <v>0</v>
      </c>
      <c r="L133" s="54">
        <v>137.81830862942434</v>
      </c>
      <c r="M133" s="54">
        <v>3.8244157466924831</v>
      </c>
      <c r="N133" s="54">
        <v>15.512745646237725</v>
      </c>
      <c r="O133" s="54">
        <v>21451.809750223623</v>
      </c>
      <c r="Q133" s="10" t="s">
        <v>21</v>
      </c>
      <c r="R133" s="18">
        <v>200</v>
      </c>
      <c r="S133" s="33">
        <v>0</v>
      </c>
      <c r="T133" s="33">
        <v>6.5008636145954863</v>
      </c>
      <c r="U133" s="33">
        <v>1.2580314956225273E-2</v>
      </c>
      <c r="V133" s="33">
        <v>3.8781864115594315E-3</v>
      </c>
      <c r="W133" s="33">
        <v>18.492939439847952</v>
      </c>
    </row>
    <row r="134" spans="9:23" ht="25.2" customHeight="1" x14ac:dyDescent="0.3">
      <c r="I134" s="10" t="s">
        <v>22</v>
      </c>
      <c r="J134" s="18">
        <v>300</v>
      </c>
      <c r="K134" s="54">
        <v>0</v>
      </c>
      <c r="L134" s="54">
        <v>72.516039815945391</v>
      </c>
      <c r="M134" s="54">
        <v>2.772307554539839</v>
      </c>
      <c r="N134" s="54">
        <v>7.2408066069864159</v>
      </c>
      <c r="O134" s="54">
        <v>13680.05695068671</v>
      </c>
      <c r="Q134" s="10" t="s">
        <v>22</v>
      </c>
      <c r="R134" s="18">
        <v>300</v>
      </c>
      <c r="S134" s="33">
        <v>0</v>
      </c>
      <c r="T134" s="33">
        <v>3.4205679158464801</v>
      </c>
      <c r="U134" s="33">
        <v>9.1194327451968385E-3</v>
      </c>
      <c r="V134" s="33">
        <v>1.8102016517466039E-3</v>
      </c>
      <c r="W134" s="33">
        <v>11.79315254369544</v>
      </c>
    </row>
    <row r="135" spans="9:23" ht="25.2" customHeight="1" x14ac:dyDescent="0.3">
      <c r="I135" s="13" t="s">
        <v>23</v>
      </c>
      <c r="J135" s="47">
        <v>400</v>
      </c>
      <c r="K135" s="59">
        <v>0</v>
      </c>
      <c r="L135" s="59">
        <v>38.513657922603294</v>
      </c>
      <c r="M135" s="59">
        <v>0.4584147768426583</v>
      </c>
      <c r="N135" s="59">
        <v>0.64844100686846828</v>
      </c>
      <c r="O135" s="59">
        <v>446.72943573068972</v>
      </c>
      <c r="Q135" s="13" t="s">
        <v>23</v>
      </c>
      <c r="R135" s="47">
        <v>400</v>
      </c>
      <c r="S135" s="38">
        <v>0</v>
      </c>
      <c r="T135" s="38">
        <v>1.8166819774812872</v>
      </c>
      <c r="U135" s="38">
        <v>1.5079433448771655E-3</v>
      </c>
      <c r="V135" s="38">
        <v>1.6211025171711707E-4</v>
      </c>
      <c r="W135" s="38">
        <v>0.38511158252645666</v>
      </c>
    </row>
    <row r="136" spans="9:23" ht="25.2" customHeight="1" x14ac:dyDescent="0.3">
      <c r="N136" s="105" t="s">
        <v>1205</v>
      </c>
      <c r="O136" s="113">
        <v>15445.995627201562</v>
      </c>
      <c r="R136" s="105" t="s">
        <v>566</v>
      </c>
      <c r="S136" s="33">
        <f>MIN(S5:S135)</f>
        <v>-3.7345481268700638E-2</v>
      </c>
      <c r="T136" s="33">
        <f t="shared" ref="T136:V136" si="0">MIN(T5:T135)</f>
        <v>0</v>
      </c>
      <c r="U136" s="33">
        <f t="shared" si="0"/>
        <v>7.6764462955120495E-4</v>
      </c>
      <c r="V136" s="33">
        <f t="shared" si="0"/>
        <v>-1.2187035556164117E-6</v>
      </c>
      <c r="W136" s="33">
        <f t="shared" ref="W136" si="1">MIN(W5:W135)</f>
        <v>0</v>
      </c>
    </row>
    <row r="137" spans="9:23" ht="25.2" customHeight="1" x14ac:dyDescent="0.3">
      <c r="N137" s="105" t="s">
        <v>1206</v>
      </c>
      <c r="O137" s="113">
        <v>12702.956366475244</v>
      </c>
      <c r="R137" s="105" t="s">
        <v>565</v>
      </c>
      <c r="S137" s="33">
        <f>MAX(S5:S135)</f>
        <v>150.64898819780007</v>
      </c>
      <c r="T137" s="33">
        <f t="shared" ref="T137:V137" si="2">MAX(T5:T135)</f>
        <v>385.64403737292849</v>
      </c>
      <c r="U137" s="33">
        <f t="shared" si="2"/>
        <v>2.7411844241092442E-2</v>
      </c>
      <c r="V137" s="33">
        <f t="shared" si="2"/>
        <v>3.8781864115594315E-3</v>
      </c>
      <c r="W137" s="33">
        <f t="shared" ref="W137" si="3">MAX(W5:W135)</f>
        <v>19.08503787788651</v>
      </c>
    </row>
    <row r="138" spans="9:23" ht="25.2" customHeight="1" x14ac:dyDescent="0.3">
      <c r="N138" s="105" t="s">
        <v>1207</v>
      </c>
      <c r="O138" s="113">
        <v>14312.489207604882</v>
      </c>
      <c r="R138" s="105" t="s">
        <v>493</v>
      </c>
      <c r="S138" s="33">
        <f>_xlfn.QUARTILE.EXC(S5:S135, 2)</f>
        <v>2.685360329675778</v>
      </c>
      <c r="T138" s="33">
        <f t="shared" ref="T138:V138" si="4">_xlfn.QUARTILE.EXC(T5:T135, 2)</f>
        <v>13.455008201986358</v>
      </c>
      <c r="U138" s="33">
        <f t="shared" si="4"/>
        <v>5.4764938667815517E-3</v>
      </c>
      <c r="V138" s="33">
        <f t="shared" si="4"/>
        <v>1.8617814161159865E-5</v>
      </c>
      <c r="W138" s="33">
        <f t="shared" ref="W138" si="5">_xlfn.QUARTILE.EXC(W5:W135, 2)</f>
        <v>8.2243822328940085E-3</v>
      </c>
    </row>
    <row r="139" spans="9:23" ht="25.2" customHeight="1" x14ac:dyDescent="0.3">
      <c r="N139" s="105" t="s">
        <v>1208</v>
      </c>
      <c r="O139" s="113">
        <v>14153.813733760564</v>
      </c>
      <c r="R139" s="105" t="s">
        <v>838</v>
      </c>
      <c r="S139" s="33">
        <f>_xlfn.QUARTILE.EXC(S5:S135, 1)</f>
        <v>0.68224314201435954</v>
      </c>
      <c r="T139" s="33">
        <f t="shared" ref="T139:V139" si="6">_xlfn.QUARTILE.EXC(T5:T135, 1)</f>
        <v>4.5785609386412514</v>
      </c>
      <c r="U139" s="33">
        <f t="shared" si="6"/>
        <v>3.1362899079311873E-3</v>
      </c>
      <c r="V139" s="33">
        <f t="shared" si="6"/>
        <v>3.9495046010095741E-6</v>
      </c>
      <c r="W139" s="33">
        <f t="shared" ref="W139" si="7">_xlfn.QUARTILE.EXC(W5:W135, 1)</f>
        <v>2.0602776849981538E-3</v>
      </c>
    </row>
    <row r="140" spans="9:23" ht="25.2" customHeight="1" x14ac:dyDescent="0.3">
      <c r="I140" s="13"/>
      <c r="J140" s="13"/>
      <c r="K140" s="13"/>
      <c r="L140" s="13"/>
      <c r="M140" s="13"/>
      <c r="N140" s="104" t="s">
        <v>1209</v>
      </c>
      <c r="O140" s="132">
        <v>1378.386566232886</v>
      </c>
      <c r="R140" s="105" t="s">
        <v>839</v>
      </c>
      <c r="S140" s="33">
        <f>_xlfn.QUARTILE.EXC(S5:S135, 3)</f>
        <v>6.7862622324344706</v>
      </c>
      <c r="T140" s="33">
        <f t="shared" ref="T140:V140" si="8">_xlfn.QUARTILE.EXC(T5:T135, 3)</f>
        <v>37.740810886890657</v>
      </c>
      <c r="U140" s="33">
        <f t="shared" si="8"/>
        <v>9.5277129256986833E-3</v>
      </c>
      <c r="V140" s="33">
        <f t="shared" si="8"/>
        <v>1.1190960521487384E-4</v>
      </c>
      <c r="W140" s="33">
        <f t="shared" ref="W140" si="9">_xlfn.QUARTILE.EXC(W5:W135, 3)</f>
        <v>0.16349275256344944</v>
      </c>
    </row>
    <row r="141" spans="9:23" ht="25.2" customHeight="1" x14ac:dyDescent="0.3">
      <c r="N141" s="105" t="s">
        <v>1210</v>
      </c>
      <c r="O141" s="113">
        <v>37625.156977520754</v>
      </c>
      <c r="R141" s="105" t="s">
        <v>494</v>
      </c>
      <c r="S141" s="33">
        <f>AVERAGE(S5:S135)</f>
        <v>7.6285673032424173</v>
      </c>
      <c r="T141" s="33">
        <f t="shared" ref="T141:V141" si="10">AVERAGE(T5:T135)</f>
        <v>38.693105268948699</v>
      </c>
      <c r="U141" s="33">
        <f t="shared" si="10"/>
        <v>7.2485112026319737E-3</v>
      </c>
      <c r="V141" s="33">
        <f t="shared" si="10"/>
        <v>2.0801203240769498E-4</v>
      </c>
      <c r="W141" s="33">
        <f t="shared" ref="W141" si="11">AVERAGE(W5:W135)</f>
        <v>1.164462294111158</v>
      </c>
    </row>
    <row r="142" spans="9:23" ht="25.2" customHeight="1" x14ac:dyDescent="0.3">
      <c r="N142" s="105" t="s">
        <v>1211</v>
      </c>
      <c r="O142" s="113">
        <v>48596.421256819471</v>
      </c>
      <c r="Q142" s="13"/>
      <c r="R142" s="104" t="s">
        <v>501</v>
      </c>
      <c r="S142" s="38">
        <f>_xlfn.STDEV.S(S5:S135)</f>
        <v>16.579087315999438</v>
      </c>
      <c r="T142" s="38">
        <f t="shared" ref="T142:V142" si="12">_xlfn.STDEV.S(T5:T135)</f>
        <v>71.506648094827412</v>
      </c>
      <c r="U142" s="38">
        <f t="shared" si="12"/>
        <v>5.550598656874464E-3</v>
      </c>
      <c r="V142" s="38">
        <f t="shared" si="12"/>
        <v>5.5874345482877902E-4</v>
      </c>
      <c r="W142" s="38">
        <f t="shared" ref="W142" si="13">_xlfn.STDEV.S(W5:W135)</f>
        <v>3.267080043107351</v>
      </c>
    </row>
    <row r="143" spans="9:23" ht="25.2" customHeight="1" x14ac:dyDescent="0.3">
      <c r="N143" s="105" t="s">
        <v>1212</v>
      </c>
      <c r="O143" s="113">
        <v>44702.922814943675</v>
      </c>
      <c r="Q143" s="51" t="s">
        <v>1861</v>
      </c>
    </row>
    <row r="144" spans="9:23" ht="25.2" customHeight="1" x14ac:dyDescent="0.3">
      <c r="N144" s="105" t="s">
        <v>1213</v>
      </c>
      <c r="O144" s="113">
        <v>43641.5003497613</v>
      </c>
      <c r="Q144" s="86"/>
    </row>
    <row r="145" spans="9:15" ht="25.2" customHeight="1" x14ac:dyDescent="0.3">
      <c r="I145" s="13"/>
      <c r="J145" s="13"/>
      <c r="K145" s="13"/>
      <c r="L145" s="13"/>
      <c r="M145" s="13"/>
      <c r="N145" s="104" t="s">
        <v>1214</v>
      </c>
      <c r="O145" s="132">
        <v>5562.1149942040729</v>
      </c>
    </row>
    <row r="146" spans="9:15" ht="25.2" customHeight="1" x14ac:dyDescent="0.3">
      <c r="N146" s="105" t="s">
        <v>1215</v>
      </c>
      <c r="O146" s="113">
        <v>4896.0926839993817</v>
      </c>
    </row>
    <row r="147" spans="9:15" ht="25.2" customHeight="1" x14ac:dyDescent="0.3">
      <c r="N147" s="105" t="s">
        <v>1216</v>
      </c>
      <c r="O147" s="113">
        <v>15393.976797458547</v>
      </c>
    </row>
    <row r="148" spans="9:15" ht="25.2" customHeight="1" x14ac:dyDescent="0.3">
      <c r="N148" s="105" t="s">
        <v>1221</v>
      </c>
      <c r="O148" s="113">
        <v>1716.3075550853659</v>
      </c>
    </row>
    <row r="149" spans="9:15" ht="25.2" customHeight="1" x14ac:dyDescent="0.3">
      <c r="N149" s="105" t="s">
        <v>1222</v>
      </c>
      <c r="O149" s="113">
        <v>5873.1344232137299</v>
      </c>
    </row>
    <row r="150" spans="9:15" ht="25.2" customHeight="1" x14ac:dyDescent="0.3">
      <c r="N150" s="105" t="s">
        <v>1217</v>
      </c>
      <c r="O150" s="113">
        <v>4.2207695551718807</v>
      </c>
    </row>
    <row r="151" spans="9:15" ht="25.2" customHeight="1" x14ac:dyDescent="0.3">
      <c r="I151" s="13"/>
      <c r="J151" s="13"/>
      <c r="K151" s="13"/>
      <c r="L151" s="13"/>
      <c r="M151" s="13"/>
      <c r="N151" s="104" t="s">
        <v>1218</v>
      </c>
      <c r="O151" s="132">
        <v>13.270669652981505</v>
      </c>
    </row>
    <row r="152" spans="9:15" ht="13.2" x14ac:dyDescent="0.3">
      <c r="I152" s="27" t="s">
        <v>719</v>
      </c>
    </row>
    <row r="153" spans="9:15" ht="13.2" x14ac:dyDescent="0.3">
      <c r="I153" s="86" t="s">
        <v>720</v>
      </c>
    </row>
  </sheetData>
  <mergeCells count="4">
    <mergeCell ref="B2:O2"/>
    <mergeCell ref="B3:G3"/>
    <mergeCell ref="B7:G9"/>
    <mergeCell ref="B10:G11"/>
  </mergeCells>
  <phoneticPr fontId="11" type="noConversion"/>
  <conditionalFormatting sqref="K5:K135">
    <cfRule type="cellIs" dxfId="12" priority="80" operator="greaterThan">
      <formula>$C$6</formula>
    </cfRule>
  </conditionalFormatting>
  <conditionalFormatting sqref="L5:L135">
    <cfRule type="cellIs" dxfId="11" priority="82" operator="greaterThan">
      <formula>$D$6</formula>
    </cfRule>
  </conditionalFormatting>
  <conditionalFormatting sqref="M5:M135">
    <cfRule type="cellIs" dxfId="10" priority="83" operator="greaterThan">
      <formula>$E$6</formula>
    </cfRule>
  </conditionalFormatting>
  <conditionalFormatting sqref="N5:N135">
    <cfRule type="cellIs" dxfId="9" priority="84" operator="greaterThan">
      <formula>$F$6</formula>
    </cfRule>
  </conditionalFormatting>
  <conditionalFormatting sqref="O5:O135">
    <cfRule type="cellIs" dxfId="8" priority="85" operator="greaterThan">
      <formula>$G$6</formula>
    </cfRule>
  </conditionalFormatting>
  <conditionalFormatting sqref="Q136:W139 Q140:R142">
    <cfRule type="cellIs" dxfId="7" priority="1" operator="equal">
      <formula>"&lt; LOD"</formula>
    </cfRule>
    <cfRule type="cellIs" dxfId="6" priority="2" operator="equal">
      <formula>"&lt; LOQ"</formula>
    </cfRule>
  </conditionalFormatting>
  <conditionalFormatting sqref="S5:W135">
    <cfRule type="cellIs" dxfId="5" priority="7" operator="greaterThanOrEqual">
      <formula>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36B0A-E771-4166-B923-6C706CBC2B2E}">
  <dimension ref="A1:G157"/>
  <sheetViews>
    <sheetView zoomScale="85" zoomScaleNormal="85" workbookViewId="0">
      <selection activeCell="B2" sqref="B2"/>
    </sheetView>
  </sheetViews>
  <sheetFormatPr defaultColWidth="8.88671875" defaultRowHeight="13.2" x14ac:dyDescent="0.25"/>
  <cols>
    <col min="1" max="1" width="6.33203125" style="1" customWidth="1"/>
    <col min="2" max="2" width="37.5546875" style="1" customWidth="1"/>
    <col min="3" max="3" width="11.33203125" style="5" customWidth="1"/>
    <col min="4" max="7" width="18.6640625" style="1" customWidth="1"/>
    <col min="8" max="16384" width="8.88671875" style="1"/>
  </cols>
  <sheetData>
    <row r="1" spans="1:7" ht="13.2" customHeight="1" x14ac:dyDescent="0.25"/>
    <row r="2" spans="1:7" ht="20.399999999999999" customHeight="1" thickBot="1" x14ac:dyDescent="0.3">
      <c r="B2" s="61" t="s">
        <v>1790</v>
      </c>
      <c r="C2" s="95"/>
      <c r="D2" s="3"/>
      <c r="E2" s="3"/>
      <c r="F2" s="3"/>
      <c r="G2" s="3"/>
    </row>
    <row r="3" spans="1:7" s="10" customFormat="1" ht="24.9" customHeight="1" x14ac:dyDescent="0.3">
      <c r="A3" s="11"/>
      <c r="B3" s="50" t="s">
        <v>0</v>
      </c>
      <c r="C3" s="21" t="s">
        <v>1</v>
      </c>
      <c r="D3" s="21" t="s">
        <v>1520</v>
      </c>
      <c r="E3" s="21" t="s">
        <v>1521</v>
      </c>
      <c r="F3" s="21" t="s">
        <v>1522</v>
      </c>
      <c r="G3" s="21" t="s">
        <v>1312</v>
      </c>
    </row>
    <row r="4" spans="1:7" ht="24.9" customHeight="1" x14ac:dyDescent="0.25">
      <c r="B4" s="16" t="s">
        <v>1309</v>
      </c>
      <c r="C4" s="70">
        <v>400</v>
      </c>
      <c r="D4" s="62">
        <v>265.64033913431507</v>
      </c>
      <c r="E4" s="62">
        <v>613.87773315484162</v>
      </c>
      <c r="F4" s="62">
        <v>879.51807228915663</v>
      </c>
      <c r="G4" s="62">
        <v>30.202942668696096</v>
      </c>
    </row>
    <row r="5" spans="1:7" ht="24.9" customHeight="1" x14ac:dyDescent="0.25">
      <c r="B5" s="16" t="s">
        <v>1309</v>
      </c>
      <c r="C5" s="70">
        <v>500</v>
      </c>
      <c r="D5" s="79">
        <v>263.90004462293621</v>
      </c>
      <c r="E5" s="62">
        <v>348.72824631860783</v>
      </c>
      <c r="F5" s="62">
        <v>612.62829094154404</v>
      </c>
      <c r="G5" s="62">
        <v>43.076698958409203</v>
      </c>
    </row>
    <row r="6" spans="1:7" ht="24.9" customHeight="1" x14ac:dyDescent="0.25">
      <c r="B6" s="16" t="s">
        <v>1309</v>
      </c>
      <c r="C6" s="70">
        <v>600</v>
      </c>
      <c r="D6" s="62">
        <v>195.53770638107989</v>
      </c>
      <c r="E6" s="62">
        <v>287.50557786702365</v>
      </c>
      <c r="F6" s="62">
        <v>483.04328424810353</v>
      </c>
      <c r="G6" s="62">
        <v>40.480369515011546</v>
      </c>
    </row>
    <row r="7" spans="1:7" ht="24.9" customHeight="1" x14ac:dyDescent="0.25">
      <c r="B7" s="16" t="s">
        <v>1309</v>
      </c>
      <c r="C7" s="70">
        <v>700</v>
      </c>
      <c r="D7" s="79">
        <v>193.48096541428157</v>
      </c>
      <c r="E7" s="62">
        <v>426.85991540183994</v>
      </c>
      <c r="F7" s="62">
        <v>620.34088081612151</v>
      </c>
      <c r="G7" s="62">
        <v>31.189459117983276</v>
      </c>
    </row>
    <row r="8" spans="1:7" ht="24.9" customHeight="1" x14ac:dyDescent="0.25">
      <c r="B8" s="16" t="s">
        <v>1309</v>
      </c>
      <c r="C8" s="70">
        <v>800</v>
      </c>
      <c r="D8" s="62">
        <v>302.59007139299371</v>
      </c>
      <c r="E8" s="62">
        <v>416.15474016270991</v>
      </c>
      <c r="F8" s="62">
        <v>718.74481155570356</v>
      </c>
      <c r="G8" s="62">
        <v>42.099792099792097</v>
      </c>
    </row>
    <row r="9" spans="1:7" ht="24.9" customHeight="1" x14ac:dyDescent="0.25">
      <c r="B9" s="16" t="s">
        <v>1309</v>
      </c>
      <c r="C9" s="70">
        <v>900</v>
      </c>
      <c r="D9" s="79">
        <v>380.78635014836823</v>
      </c>
      <c r="E9" s="62">
        <v>325.41543026706256</v>
      </c>
      <c r="F9" s="62">
        <v>706.20178041543079</v>
      </c>
      <c r="G9" s="62">
        <v>53.920332787091894</v>
      </c>
    </row>
    <row r="10" spans="1:7" ht="24.9" customHeight="1" x14ac:dyDescent="0.25">
      <c r="B10" s="16" t="s">
        <v>1309</v>
      </c>
      <c r="C10" s="70">
        <v>1000</v>
      </c>
      <c r="D10" s="62">
        <v>470.87944088526626</v>
      </c>
      <c r="E10" s="62">
        <v>316.99184624344872</v>
      </c>
      <c r="F10" s="62">
        <v>787.87128712871504</v>
      </c>
      <c r="G10" s="62">
        <v>59.76603648056772</v>
      </c>
    </row>
    <row r="11" spans="1:7" ht="24.9" customHeight="1" x14ac:dyDescent="0.25">
      <c r="B11" s="16" t="s">
        <v>1309</v>
      </c>
      <c r="C11" s="70">
        <v>1100</v>
      </c>
      <c r="D11" s="79">
        <v>516.10887996429631</v>
      </c>
      <c r="E11" s="62">
        <v>259.30388219544574</v>
      </c>
      <c r="F11" s="62">
        <v>775.41276215974199</v>
      </c>
      <c r="G11" s="62">
        <v>66.559244978995238</v>
      </c>
    </row>
    <row r="12" spans="1:7" ht="24.9" customHeight="1" x14ac:dyDescent="0.25">
      <c r="B12" s="16" t="s">
        <v>1309</v>
      </c>
      <c r="C12" s="70">
        <v>1200</v>
      </c>
      <c r="D12" s="62">
        <v>923.75974486180155</v>
      </c>
      <c r="E12" s="62">
        <v>318.17859673990125</v>
      </c>
      <c r="F12" s="62">
        <v>1241.9383416017029</v>
      </c>
      <c r="G12" s="62">
        <v>74.380483629360157</v>
      </c>
    </row>
    <row r="13" spans="1:7" ht="24.9" customHeight="1" x14ac:dyDescent="0.25">
      <c r="B13" s="16"/>
      <c r="C13" s="70"/>
      <c r="D13" s="62"/>
      <c r="E13" s="62"/>
      <c r="F13" s="62"/>
      <c r="G13" s="62"/>
    </row>
    <row r="14" spans="1:7" ht="24.9" customHeight="1" x14ac:dyDescent="0.25">
      <c r="B14" s="16" t="s">
        <v>1310</v>
      </c>
      <c r="C14" s="70">
        <v>100</v>
      </c>
      <c r="D14" s="62">
        <v>14.457831325301207</v>
      </c>
      <c r="E14" s="62">
        <v>345.3369031682285</v>
      </c>
      <c r="F14" s="62">
        <v>359.79473449352969</v>
      </c>
      <c r="G14" s="62">
        <v>4.018355450824755</v>
      </c>
    </row>
    <row r="15" spans="1:7" ht="24.9" customHeight="1" x14ac:dyDescent="0.25">
      <c r="B15" s="16" t="s">
        <v>1310</v>
      </c>
      <c r="C15" s="70">
        <v>200</v>
      </c>
      <c r="D15" s="79">
        <v>28.692547969656406</v>
      </c>
      <c r="E15" s="62">
        <v>358.18830879071845</v>
      </c>
      <c r="F15" s="62">
        <v>386.88085676037485</v>
      </c>
      <c r="G15" s="62">
        <v>7.4163783160322962</v>
      </c>
    </row>
    <row r="16" spans="1:7" ht="24.9" customHeight="1" x14ac:dyDescent="0.25">
      <c r="B16" s="16" t="s">
        <v>1310</v>
      </c>
      <c r="C16" s="70">
        <v>300</v>
      </c>
      <c r="D16" s="79">
        <v>30.96831771530567</v>
      </c>
      <c r="E16" s="62">
        <v>434.58277554663107</v>
      </c>
      <c r="F16" s="62">
        <v>465.55109326193673</v>
      </c>
      <c r="G16" s="62">
        <v>6.6519697114923799</v>
      </c>
    </row>
    <row r="17" spans="2:7" ht="24.9" customHeight="1" x14ac:dyDescent="0.25">
      <c r="B17" s="16" t="s">
        <v>1310</v>
      </c>
      <c r="C17" s="70">
        <v>400</v>
      </c>
      <c r="D17" s="62">
        <v>44.786610878660817</v>
      </c>
      <c r="E17" s="62">
        <v>390.72803347280097</v>
      </c>
      <c r="F17" s="62">
        <v>435.51464435146181</v>
      </c>
      <c r="G17" s="62">
        <v>10.283606179386673</v>
      </c>
    </row>
    <row r="18" spans="2:7" ht="24.9" customHeight="1" x14ac:dyDescent="0.25">
      <c r="B18" s="16" t="s">
        <v>1310</v>
      </c>
      <c r="C18" s="70">
        <v>500</v>
      </c>
      <c r="D18" s="79">
        <v>46.454731907412778</v>
      </c>
      <c r="E18" s="62">
        <v>291.12217990038056</v>
      </c>
      <c r="F18" s="62">
        <v>337.57691180779335</v>
      </c>
      <c r="G18" s="62">
        <v>13.761229006639761</v>
      </c>
    </row>
    <row r="19" spans="2:7" ht="24.9" customHeight="1" x14ac:dyDescent="0.25">
      <c r="B19" s="16" t="s">
        <v>1310</v>
      </c>
      <c r="C19" s="70">
        <v>700</v>
      </c>
      <c r="D19" s="79">
        <v>42.105263157894797</v>
      </c>
      <c r="E19" s="62">
        <v>241.68975069252113</v>
      </c>
      <c r="F19" s="62">
        <v>283.7950138504159</v>
      </c>
      <c r="G19" s="62">
        <v>14.8365056124939</v>
      </c>
    </row>
    <row r="20" spans="2:7" ht="24.9" customHeight="1" x14ac:dyDescent="0.25">
      <c r="B20" s="16" t="s">
        <v>1310</v>
      </c>
      <c r="C20" s="70">
        <v>800</v>
      </c>
      <c r="D20" s="62">
        <v>93.571950328705796</v>
      </c>
      <c r="E20" s="62">
        <v>237.47260774287474</v>
      </c>
      <c r="F20" s="62">
        <v>331.04455807158052</v>
      </c>
      <c r="G20" s="62">
        <v>28.265666372462491</v>
      </c>
    </row>
    <row r="21" spans="2:7" ht="24.9" customHeight="1" x14ac:dyDescent="0.25">
      <c r="B21" s="16" t="s">
        <v>1310</v>
      </c>
      <c r="C21" s="70">
        <v>900</v>
      </c>
      <c r="D21" s="79">
        <v>84.150000000000304</v>
      </c>
      <c r="E21" s="62">
        <v>169.1250000000006</v>
      </c>
      <c r="F21" s="62">
        <v>253.27500000000089</v>
      </c>
      <c r="G21" s="62">
        <v>33.224755700325737</v>
      </c>
    </row>
    <row r="22" spans="2:7" ht="24.9" customHeight="1" x14ac:dyDescent="0.25">
      <c r="B22" s="16" t="s">
        <v>1310</v>
      </c>
      <c r="C22" s="70">
        <v>1000</v>
      </c>
      <c r="D22" s="62">
        <v>130.25003613238965</v>
      </c>
      <c r="E22" s="62">
        <v>514.14944356121055</v>
      </c>
      <c r="F22" s="62">
        <v>644.39947969360014</v>
      </c>
      <c r="G22" s="62">
        <v>20.212622796393489</v>
      </c>
    </row>
    <row r="23" spans="2:7" ht="24.9" customHeight="1" x14ac:dyDescent="0.25">
      <c r="B23" s="16" t="s">
        <v>1310</v>
      </c>
      <c r="C23" s="70">
        <v>1100</v>
      </c>
      <c r="D23" s="79">
        <v>151.08758700696086</v>
      </c>
      <c r="E23" s="62">
        <v>345.3741299303951</v>
      </c>
      <c r="F23" s="62">
        <v>496.46171693735596</v>
      </c>
      <c r="G23" s="62">
        <v>30.43287767262531</v>
      </c>
    </row>
    <row r="24" spans="2:7" ht="24.9" customHeight="1" x14ac:dyDescent="0.25">
      <c r="B24" s="16" t="s">
        <v>1310</v>
      </c>
      <c r="C24" s="70">
        <v>1200</v>
      </c>
      <c r="D24" s="62">
        <v>221.93207547169763</v>
      </c>
      <c r="E24" s="62">
        <v>457.63018867924433</v>
      </c>
      <c r="F24" s="62">
        <v>679.56226415094193</v>
      </c>
      <c r="G24" s="62">
        <v>32.658092889984673</v>
      </c>
    </row>
    <row r="25" spans="2:7" ht="24.9" customHeight="1" x14ac:dyDescent="0.25">
      <c r="B25" s="16"/>
      <c r="C25" s="70"/>
      <c r="D25" s="62"/>
      <c r="E25" s="62"/>
      <c r="F25" s="62"/>
      <c r="G25" s="62"/>
    </row>
    <row r="26" spans="2:7" ht="24.9" customHeight="1" x14ac:dyDescent="0.25">
      <c r="B26" s="16" t="s">
        <v>1311</v>
      </c>
      <c r="C26" s="70">
        <v>100</v>
      </c>
      <c r="D26" s="62">
        <v>9.4281663516068157</v>
      </c>
      <c r="E26" s="62">
        <v>104.09971644612487</v>
      </c>
      <c r="F26" s="62">
        <v>113.52788279773169</v>
      </c>
      <c r="G26" s="62">
        <v>8.3047143303153295</v>
      </c>
    </row>
    <row r="27" spans="2:7" ht="24.9" customHeight="1" x14ac:dyDescent="0.25">
      <c r="B27" s="16" t="s">
        <v>1311</v>
      </c>
      <c r="C27" s="70">
        <v>200</v>
      </c>
      <c r="D27" s="79">
        <v>68.977289594774732</v>
      </c>
      <c r="E27" s="62">
        <v>428.38058483004062</v>
      </c>
      <c r="F27" s="62">
        <v>497.35787442481535</v>
      </c>
      <c r="G27" s="62">
        <v>13.868743844569792</v>
      </c>
    </row>
    <row r="28" spans="2:7" ht="24.9" customHeight="1" x14ac:dyDescent="0.25">
      <c r="B28" s="16" t="s">
        <v>1311</v>
      </c>
      <c r="C28" s="70">
        <v>300</v>
      </c>
      <c r="D28" s="79">
        <v>46.937235968618182</v>
      </c>
      <c r="E28" s="62">
        <v>204.17923958962069</v>
      </c>
      <c r="F28" s="62">
        <v>251.11647555823888</v>
      </c>
      <c r="G28" s="62">
        <v>18.691420331651042</v>
      </c>
    </row>
    <row r="29" spans="2:7" ht="24.9" customHeight="1" x14ac:dyDescent="0.25">
      <c r="B29" s="16" t="s">
        <v>1311</v>
      </c>
      <c r="C29" s="70">
        <v>400</v>
      </c>
      <c r="D29" s="62">
        <v>97.502432695426819</v>
      </c>
      <c r="E29" s="62">
        <v>341.11255270840189</v>
      </c>
      <c r="F29" s="62">
        <v>438.61498540382871</v>
      </c>
      <c r="G29" s="62">
        <v>22.229617304492514</v>
      </c>
    </row>
    <row r="30" spans="2:7" ht="24.9" customHeight="1" x14ac:dyDescent="0.25">
      <c r="B30" s="16" t="s">
        <v>1311</v>
      </c>
      <c r="C30" s="70">
        <v>500</v>
      </c>
      <c r="D30" s="79">
        <v>123.57918488224395</v>
      </c>
      <c r="E30" s="62">
        <v>316.66901706388091</v>
      </c>
      <c r="F30" s="62">
        <v>440.24820194612488</v>
      </c>
      <c r="G30" s="62">
        <v>28.070344032289057</v>
      </c>
    </row>
    <row r="31" spans="2:7" ht="24.9" customHeight="1" x14ac:dyDescent="0.25">
      <c r="B31" s="16" t="s">
        <v>1311</v>
      </c>
      <c r="C31" s="70">
        <v>600</v>
      </c>
      <c r="D31" s="62">
        <v>114.18124006359342</v>
      </c>
      <c r="E31" s="62">
        <v>72.209856915739522</v>
      </c>
      <c r="F31" s="62">
        <v>186.39109697933293</v>
      </c>
      <c r="G31" s="62">
        <v>61.258955987717513</v>
      </c>
    </row>
    <row r="32" spans="2:7" ht="24.9" customHeight="1" x14ac:dyDescent="0.25">
      <c r="B32" s="16" t="s">
        <v>1311</v>
      </c>
      <c r="C32" s="70">
        <v>700</v>
      </c>
      <c r="D32" s="79">
        <v>154.96494374694217</v>
      </c>
      <c r="E32" s="62">
        <v>323.96869395075697</v>
      </c>
      <c r="F32" s="62">
        <v>478.93363769769917</v>
      </c>
      <c r="G32" s="62">
        <v>32.356245531610661</v>
      </c>
    </row>
    <row r="33" spans="2:7" ht="24.9" customHeight="1" x14ac:dyDescent="0.25">
      <c r="B33" s="16" t="s">
        <v>1311</v>
      </c>
      <c r="C33" s="70">
        <v>800</v>
      </c>
      <c r="D33" s="62">
        <v>199.30287748442629</v>
      </c>
      <c r="E33" s="62">
        <v>213.00800949273244</v>
      </c>
      <c r="F33" s="62">
        <v>412.3108869771587</v>
      </c>
      <c r="G33" s="62">
        <v>48.338009928771861</v>
      </c>
    </row>
    <row r="34" spans="2:7" ht="24.9" customHeight="1" x14ac:dyDescent="0.25">
      <c r="B34" s="16" t="s">
        <v>1311</v>
      </c>
      <c r="C34" s="70">
        <v>900</v>
      </c>
      <c r="D34" s="79">
        <v>401.91361399671678</v>
      </c>
      <c r="E34" s="62">
        <v>425.04100601421254</v>
      </c>
      <c r="F34" s="62">
        <v>826.95462001092937</v>
      </c>
      <c r="G34" s="62">
        <v>48.60165289256198</v>
      </c>
    </row>
    <row r="35" spans="2:7" ht="24.9" customHeight="1" x14ac:dyDescent="0.25">
      <c r="B35" s="16" t="s">
        <v>1311</v>
      </c>
      <c r="C35" s="70">
        <v>1000</v>
      </c>
      <c r="D35" s="62">
        <v>327.69387408790402</v>
      </c>
      <c r="E35" s="62">
        <v>422.63702698116811</v>
      </c>
      <c r="F35" s="62">
        <v>750.33090106907207</v>
      </c>
      <c r="G35" s="62">
        <v>43.673247845851151</v>
      </c>
    </row>
    <row r="36" spans="2:7" ht="24.9" customHeight="1" x14ac:dyDescent="0.25">
      <c r="B36" s="16" t="s">
        <v>1311</v>
      </c>
      <c r="C36" s="70">
        <v>1100</v>
      </c>
      <c r="D36" s="79">
        <v>200.01640150893763</v>
      </c>
      <c r="E36" s="62">
        <v>180.08856814826856</v>
      </c>
      <c r="F36" s="62">
        <v>380.1049696572062</v>
      </c>
      <c r="G36" s="62">
        <v>52.621359223300971</v>
      </c>
    </row>
    <row r="37" spans="2:7" ht="24.9" customHeight="1" x14ac:dyDescent="0.25">
      <c r="B37" s="19" t="s">
        <v>1311</v>
      </c>
      <c r="C37" s="75">
        <v>1200</v>
      </c>
      <c r="D37" s="63">
        <v>336.25877632898784</v>
      </c>
      <c r="E37" s="63">
        <v>322.16649949849631</v>
      </c>
      <c r="F37" s="63">
        <v>658.42527582748414</v>
      </c>
      <c r="G37" s="63">
        <v>51.070150049508726</v>
      </c>
    </row>
    <row r="38" spans="2:7" ht="24.9" customHeight="1" x14ac:dyDescent="0.25">
      <c r="B38" s="16" t="s">
        <v>1318</v>
      </c>
      <c r="C38" s="133" t="s">
        <v>1313</v>
      </c>
      <c r="D38" s="62">
        <v>390.29817142281541</v>
      </c>
      <c r="E38" s="62">
        <v>368.11288537232014</v>
      </c>
      <c r="F38" s="62">
        <v>758.41105679513544</v>
      </c>
      <c r="G38" s="62">
        <v>49.075040026211909</v>
      </c>
    </row>
    <row r="39" spans="2:7" ht="24.9" customHeight="1" x14ac:dyDescent="0.25">
      <c r="B39" s="16" t="s">
        <v>1319</v>
      </c>
      <c r="C39" s="133" t="s">
        <v>1313</v>
      </c>
      <c r="D39" s="79">
        <v>229.91053265247331</v>
      </c>
      <c r="E39" s="79">
        <v>107.12268765106681</v>
      </c>
      <c r="F39" s="79">
        <v>215.07705756736749</v>
      </c>
      <c r="G39" s="79">
        <v>15.485435776084461</v>
      </c>
    </row>
    <row r="40" spans="2:7" ht="24.9" customHeight="1" x14ac:dyDescent="0.25">
      <c r="B40" s="16" t="s">
        <v>1317</v>
      </c>
      <c r="C40" s="133" t="s">
        <v>1314</v>
      </c>
      <c r="D40" s="62">
        <v>80.768813808544181</v>
      </c>
      <c r="E40" s="62">
        <v>344.1272110440915</v>
      </c>
      <c r="F40" s="62">
        <v>424.89602485263555</v>
      </c>
      <c r="G40" s="62">
        <v>18.342005428060133</v>
      </c>
    </row>
    <row r="41" spans="2:7" ht="24.9" customHeight="1" x14ac:dyDescent="0.25">
      <c r="B41" s="16" t="s">
        <v>1320</v>
      </c>
      <c r="C41" s="133" t="s">
        <v>1314</v>
      </c>
      <c r="D41" s="62">
        <v>64.071646584940851</v>
      </c>
      <c r="E41" s="62">
        <v>103.75404030673982</v>
      </c>
      <c r="F41" s="62">
        <v>138.3485547033894</v>
      </c>
      <c r="G41" s="62">
        <v>11.108632296298756</v>
      </c>
    </row>
    <row r="42" spans="2:7" ht="24.9" customHeight="1" x14ac:dyDescent="0.25">
      <c r="B42" s="16" t="s">
        <v>1316</v>
      </c>
      <c r="C42" s="133" t="s">
        <v>1314</v>
      </c>
      <c r="D42" s="62">
        <v>173.39633639251488</v>
      </c>
      <c r="E42" s="62">
        <v>279.4633976366203</v>
      </c>
      <c r="F42" s="62">
        <v>452.85973402913515</v>
      </c>
      <c r="G42" s="62">
        <v>35.757038441886714</v>
      </c>
    </row>
    <row r="43" spans="2:7" ht="24.9" customHeight="1" x14ac:dyDescent="0.25">
      <c r="B43" s="19" t="s">
        <v>1321</v>
      </c>
      <c r="C43" s="134" t="s">
        <v>1314</v>
      </c>
      <c r="D43" s="135">
        <v>124.24331211359552</v>
      </c>
      <c r="E43" s="135">
        <v>123.03836807825375</v>
      </c>
      <c r="F43" s="135">
        <v>214.79474649377531</v>
      </c>
      <c r="G43" s="135">
        <v>17.406321953118226</v>
      </c>
    </row>
    <row r="44" spans="2:7" ht="24.9" customHeight="1" x14ac:dyDescent="0.25">
      <c r="B44" s="16" t="s">
        <v>1362</v>
      </c>
      <c r="C44" s="133" t="s">
        <v>1314</v>
      </c>
      <c r="D44" s="62">
        <v>153.02626537695153</v>
      </c>
      <c r="E44" s="62">
        <v>324.69206210890979</v>
      </c>
      <c r="F44" s="62">
        <v>480.98846097290135</v>
      </c>
      <c r="G44" s="138">
        <v>31.772852324796968</v>
      </c>
    </row>
    <row r="45" spans="2:7" ht="24.9" customHeight="1" x14ac:dyDescent="0.25">
      <c r="B45" s="16" t="s">
        <v>1315</v>
      </c>
      <c r="C45" s="133" t="s">
        <v>1314</v>
      </c>
      <c r="D45" s="62">
        <v>202.55926660654697</v>
      </c>
      <c r="E45" s="62">
        <v>326.62425192110419</v>
      </c>
      <c r="F45" s="62">
        <v>529.18351852765102</v>
      </c>
      <c r="G45" s="138">
        <v>33.516308788975287</v>
      </c>
    </row>
    <row r="46" spans="2:7" ht="24.9" customHeight="1" x14ac:dyDescent="0.25">
      <c r="B46" s="16" t="s">
        <v>1322</v>
      </c>
      <c r="C46" s="133" t="s">
        <v>1314</v>
      </c>
      <c r="D46" s="62">
        <v>190.44123922724106</v>
      </c>
      <c r="E46" s="62">
        <v>115.21724424601338</v>
      </c>
      <c r="F46" s="62">
        <v>236.33074691949179</v>
      </c>
      <c r="G46" s="138">
        <v>19.05591023969226</v>
      </c>
    </row>
    <row r="47" spans="2:7" ht="24.9" customHeight="1" x14ac:dyDescent="0.25">
      <c r="B47" s="16" t="s">
        <v>1323</v>
      </c>
      <c r="C47" s="133" t="s">
        <v>1314</v>
      </c>
      <c r="D47" s="62">
        <v>9.4281663516068157</v>
      </c>
      <c r="E47" s="62">
        <v>72.209856915739522</v>
      </c>
      <c r="F47" s="62">
        <v>113.52788279773169</v>
      </c>
      <c r="G47" s="138">
        <v>4.018355450824755</v>
      </c>
    </row>
    <row r="48" spans="2:7" ht="24.9" customHeight="1" x14ac:dyDescent="0.25">
      <c r="B48" s="19" t="s">
        <v>1324</v>
      </c>
      <c r="C48" s="134" t="s">
        <v>1314</v>
      </c>
      <c r="D48" s="63">
        <v>923.75974486180155</v>
      </c>
      <c r="E48" s="63">
        <v>613.87773315484162</v>
      </c>
      <c r="F48" s="63">
        <v>1241.9383416017029</v>
      </c>
      <c r="G48" s="139">
        <v>74.380483629360157</v>
      </c>
    </row>
    <row r="49" spans="2:7" ht="24.9" customHeight="1" x14ac:dyDescent="0.25">
      <c r="B49" s="16"/>
      <c r="C49" s="133"/>
      <c r="D49" s="79"/>
      <c r="E49" s="62"/>
      <c r="F49" s="62"/>
      <c r="G49" s="117"/>
    </row>
    <row r="50" spans="2:7" ht="24.9" customHeight="1" x14ac:dyDescent="0.25">
      <c r="B50" s="16" t="s">
        <v>1325</v>
      </c>
      <c r="C50" s="70">
        <v>100</v>
      </c>
      <c r="D50" s="62">
        <v>4.6554934823091534</v>
      </c>
      <c r="E50" s="62">
        <v>249.19925512104436</v>
      </c>
      <c r="F50" s="62">
        <v>253.8547486033535</v>
      </c>
      <c r="G50" s="62">
        <v>1.8339201877934272</v>
      </c>
    </row>
    <row r="51" spans="2:7" ht="24.9" customHeight="1" x14ac:dyDescent="0.25">
      <c r="B51" s="16" t="s">
        <v>1325</v>
      </c>
      <c r="C51" s="70">
        <v>200</v>
      </c>
      <c r="D51" s="79">
        <v>5.8374384236452865</v>
      </c>
      <c r="E51" s="62">
        <v>200.28325123152595</v>
      </c>
      <c r="F51" s="62">
        <v>206.12068965517125</v>
      </c>
      <c r="G51" s="62">
        <v>2.832048754257035</v>
      </c>
    </row>
    <row r="52" spans="2:7" ht="24.9" customHeight="1" x14ac:dyDescent="0.25">
      <c r="B52" s="16" t="s">
        <v>1325</v>
      </c>
      <c r="C52" s="70">
        <v>300</v>
      </c>
      <c r="D52" s="62">
        <v>8.565016830819145</v>
      </c>
      <c r="E52" s="62">
        <v>244.90711881311685</v>
      </c>
      <c r="F52" s="62">
        <v>253.47213564393599</v>
      </c>
      <c r="G52" s="62">
        <v>3.379076287442822</v>
      </c>
    </row>
    <row r="53" spans="2:7" ht="24.9" customHeight="1" x14ac:dyDescent="0.25">
      <c r="B53" s="16" t="s">
        <v>1325</v>
      </c>
      <c r="C53" s="70">
        <v>400</v>
      </c>
      <c r="D53" s="79">
        <v>17.056545313710345</v>
      </c>
      <c r="E53" s="62">
        <v>453.97366382649227</v>
      </c>
      <c r="F53" s="62">
        <v>471.0302091402026</v>
      </c>
      <c r="G53" s="62">
        <v>3.6211149481993088</v>
      </c>
    </row>
    <row r="54" spans="2:7" ht="24.9" customHeight="1" x14ac:dyDescent="0.25">
      <c r="B54" s="16" t="s">
        <v>1325</v>
      </c>
      <c r="C54" s="70">
        <v>500</v>
      </c>
      <c r="D54" s="62">
        <v>28.885832187070104</v>
      </c>
      <c r="E54" s="62">
        <v>288.67075153182395</v>
      </c>
      <c r="F54" s="62">
        <v>317.55658371889405</v>
      </c>
      <c r="G54" s="62">
        <v>9.0962787950383941</v>
      </c>
    </row>
    <row r="55" spans="2:7" ht="24.9" customHeight="1" x14ac:dyDescent="0.25">
      <c r="B55" s="16" t="s">
        <v>1325</v>
      </c>
      <c r="C55" s="70">
        <v>600</v>
      </c>
      <c r="D55" s="79">
        <v>31.503063799110762</v>
      </c>
      <c r="E55" s="62">
        <v>313.73302895590399</v>
      </c>
      <c r="F55" s="62">
        <v>345.23609275501474</v>
      </c>
      <c r="G55" s="62">
        <v>9.1250783044476922</v>
      </c>
    </row>
    <row r="56" spans="2:7" ht="24.9" customHeight="1" x14ac:dyDescent="0.25">
      <c r="B56" s="16"/>
      <c r="C56" s="70"/>
      <c r="D56" s="79"/>
      <c r="E56" s="62"/>
      <c r="F56" s="62"/>
      <c r="G56" s="62"/>
    </row>
    <row r="57" spans="2:7" ht="24.9" customHeight="1" x14ac:dyDescent="0.25">
      <c r="B57" s="16" t="s">
        <v>1326</v>
      </c>
      <c r="C57" s="70">
        <v>100</v>
      </c>
      <c r="D57" s="62">
        <v>0</v>
      </c>
      <c r="E57" s="62">
        <v>77.80135823429606</v>
      </c>
      <c r="F57" s="62">
        <v>77.80135823429606</v>
      </c>
      <c r="G57" s="62">
        <v>0</v>
      </c>
    </row>
    <row r="58" spans="2:7" ht="24.9" customHeight="1" x14ac:dyDescent="0.25">
      <c r="B58" s="16" t="s">
        <v>1326</v>
      </c>
      <c r="C58" s="70">
        <v>200</v>
      </c>
      <c r="D58" s="79">
        <v>9.1998241371729641</v>
      </c>
      <c r="E58" s="62">
        <v>253.37436799296432</v>
      </c>
      <c r="F58" s="62">
        <v>262.57419213013731</v>
      </c>
      <c r="G58" s="62">
        <v>3.5037046339319353</v>
      </c>
    </row>
    <row r="59" spans="2:7" ht="24.9" customHeight="1" x14ac:dyDescent="0.25">
      <c r="B59" s="16" t="s">
        <v>1326</v>
      </c>
      <c r="C59" s="70">
        <v>300</v>
      </c>
      <c r="D59" s="62">
        <v>12.785443888142639</v>
      </c>
      <c r="E59" s="62">
        <v>384.95542801318874</v>
      </c>
      <c r="F59" s="62">
        <v>397.74087190133139</v>
      </c>
      <c r="G59" s="62">
        <v>3.2145159804734265</v>
      </c>
    </row>
    <row r="60" spans="2:7" ht="24.9" customHeight="1" x14ac:dyDescent="0.25">
      <c r="B60" s="16" t="s">
        <v>1326</v>
      </c>
      <c r="C60" s="70">
        <v>400</v>
      </c>
      <c r="D60" s="62">
        <v>24.936941068562273</v>
      </c>
      <c r="E60" s="62">
        <v>369.58266452648496</v>
      </c>
      <c r="F60" s="62">
        <v>394.51960559504721</v>
      </c>
      <c r="G60" s="62">
        <v>6.3208369659982573</v>
      </c>
    </row>
    <row r="61" spans="2:7" ht="24.9" customHeight="1" x14ac:dyDescent="0.25">
      <c r="B61" s="16" t="s">
        <v>1326</v>
      </c>
      <c r="C61" s="70">
        <v>500</v>
      </c>
      <c r="D61" s="79">
        <v>39.340813464235509</v>
      </c>
      <c r="E61" s="62">
        <v>316.33941093969048</v>
      </c>
      <c r="F61" s="62">
        <v>355.68022440392599</v>
      </c>
      <c r="G61" s="62">
        <v>11.060725552050474</v>
      </c>
    </row>
    <row r="62" spans="2:7" ht="24.9" customHeight="1" x14ac:dyDescent="0.25">
      <c r="B62" s="16" t="s">
        <v>1326</v>
      </c>
      <c r="C62" s="70">
        <v>600</v>
      </c>
      <c r="D62" s="79">
        <v>36.976170912079063</v>
      </c>
      <c r="E62" s="62">
        <v>244.65899753492312</v>
      </c>
      <c r="F62" s="62">
        <v>281.63516844700217</v>
      </c>
      <c r="G62" s="62">
        <v>13.12910284463895</v>
      </c>
    </row>
    <row r="63" spans="2:7" ht="24.9" customHeight="1" x14ac:dyDescent="0.25">
      <c r="B63" s="16"/>
      <c r="C63" s="70"/>
      <c r="D63" s="79"/>
      <c r="E63" s="62"/>
      <c r="F63" s="62"/>
      <c r="G63" s="62"/>
    </row>
    <row r="64" spans="2:7" ht="24.9" customHeight="1" x14ac:dyDescent="0.25">
      <c r="B64" s="16" t="s">
        <v>1327</v>
      </c>
      <c r="C64" s="70">
        <v>100</v>
      </c>
      <c r="D64" s="62">
        <v>17.996345919610121</v>
      </c>
      <c r="E64" s="62">
        <v>245.82825822167936</v>
      </c>
      <c r="F64" s="62">
        <v>263.82460414128946</v>
      </c>
      <c r="G64" s="62">
        <v>6.821329639889198</v>
      </c>
    </row>
    <row r="65" spans="2:7" ht="24.9" customHeight="1" x14ac:dyDescent="0.25">
      <c r="B65" s="16" t="s">
        <v>1327</v>
      </c>
      <c r="C65" s="70">
        <v>200</v>
      </c>
      <c r="D65" s="79">
        <v>4.6137714085983736</v>
      </c>
      <c r="E65" s="62">
        <v>180.35651869975462</v>
      </c>
      <c r="F65" s="62">
        <v>184.970290108353</v>
      </c>
      <c r="G65" s="62">
        <v>2.4943310657596371</v>
      </c>
    </row>
    <row r="66" spans="2:7" ht="24.9" customHeight="1" x14ac:dyDescent="0.25">
      <c r="B66" s="16" t="s">
        <v>1327</v>
      </c>
      <c r="C66" s="70">
        <v>300</v>
      </c>
      <c r="D66" s="62">
        <v>7.3920468406928448</v>
      </c>
      <c r="E66" s="62">
        <v>245.40131739448623</v>
      </c>
      <c r="F66" s="62">
        <v>252.79336423517907</v>
      </c>
      <c r="G66" s="62">
        <v>2.924145917776491</v>
      </c>
    </row>
    <row r="67" spans="2:7" ht="24.9" customHeight="1" x14ac:dyDescent="0.25">
      <c r="B67" s="16" t="s">
        <v>1327</v>
      </c>
      <c r="C67" s="70">
        <v>400</v>
      </c>
      <c r="D67" s="79">
        <v>9.5573320606133247</v>
      </c>
      <c r="E67" s="62">
        <v>272.04390884142794</v>
      </c>
      <c r="F67" s="62">
        <v>281.60124090204124</v>
      </c>
      <c r="G67" s="62">
        <v>3.3939239862717683</v>
      </c>
    </row>
    <row r="68" spans="2:7" ht="24.9" customHeight="1" x14ac:dyDescent="0.25">
      <c r="B68" s="16" t="s">
        <v>1327</v>
      </c>
      <c r="C68" s="70">
        <v>500</v>
      </c>
      <c r="D68" s="62">
        <v>12.584108804581195</v>
      </c>
      <c r="E68" s="62">
        <v>272.12598425196745</v>
      </c>
      <c r="F68" s="62">
        <v>284.71009305654866</v>
      </c>
      <c r="G68" s="62">
        <v>4.4199728465831942</v>
      </c>
    </row>
    <row r="69" spans="2:7" ht="24.9" customHeight="1" x14ac:dyDescent="0.25">
      <c r="B69" s="19" t="s">
        <v>1327</v>
      </c>
      <c r="C69" s="75">
        <v>600</v>
      </c>
      <c r="D69" s="135">
        <v>21.376299910129671</v>
      </c>
      <c r="E69" s="63">
        <v>273.23148029272051</v>
      </c>
      <c r="F69" s="63">
        <v>294.60778020285017</v>
      </c>
      <c r="G69" s="63">
        <v>7.2558504379657478</v>
      </c>
    </row>
    <row r="70" spans="2:7" ht="24.9" customHeight="1" x14ac:dyDescent="0.25">
      <c r="B70" s="16" t="s">
        <v>1328</v>
      </c>
      <c r="C70" s="133" t="s">
        <v>1338</v>
      </c>
      <c r="D70" s="62">
        <v>16.083898339444133</v>
      </c>
      <c r="E70" s="62">
        <v>291.7945115799846</v>
      </c>
      <c r="F70" s="62">
        <v>307.87840991942863</v>
      </c>
      <c r="G70" s="62">
        <v>4.9812528795297801</v>
      </c>
    </row>
    <row r="71" spans="2:7" ht="24.9" customHeight="1" x14ac:dyDescent="0.25">
      <c r="B71" s="16" t="s">
        <v>1329</v>
      </c>
      <c r="C71" s="133" t="s">
        <v>1338</v>
      </c>
      <c r="D71" s="79">
        <v>11.787435457923143</v>
      </c>
      <c r="E71" s="79">
        <v>88.521441570648236</v>
      </c>
      <c r="F71" s="79">
        <v>94.171126572666367</v>
      </c>
      <c r="G71" s="79">
        <v>3.2571906271061479</v>
      </c>
    </row>
    <row r="72" spans="2:7" ht="24.9" customHeight="1" x14ac:dyDescent="0.25">
      <c r="B72" s="16" t="s">
        <v>1330</v>
      </c>
      <c r="C72" s="133" t="s">
        <v>1338</v>
      </c>
      <c r="D72" s="62">
        <v>20.539865578365408</v>
      </c>
      <c r="E72" s="62">
        <v>274.45203787359128</v>
      </c>
      <c r="F72" s="62">
        <v>294.99190345195672</v>
      </c>
      <c r="G72" s="62">
        <v>6.2048143295155072</v>
      </c>
    </row>
    <row r="73" spans="2:7" ht="24.9" customHeight="1" x14ac:dyDescent="0.25">
      <c r="B73" s="16" t="s">
        <v>1331</v>
      </c>
      <c r="C73" s="133" t="s">
        <v>1338</v>
      </c>
      <c r="D73" s="62">
        <v>15.833986995774861</v>
      </c>
      <c r="E73" s="62">
        <v>112.26644254175849</v>
      </c>
      <c r="F73" s="62">
        <v>120.45516146728262</v>
      </c>
      <c r="G73" s="62">
        <v>5.0254692350388179</v>
      </c>
    </row>
    <row r="74" spans="2:7" ht="24.9" customHeight="1" x14ac:dyDescent="0.25">
      <c r="B74" s="16" t="s">
        <v>1332</v>
      </c>
      <c r="C74" s="133" t="s">
        <v>1338</v>
      </c>
      <c r="D74" s="62">
        <v>12.253317490704255</v>
      </c>
      <c r="E74" s="62">
        <v>248.16457795033941</v>
      </c>
      <c r="F74" s="62">
        <v>260.41789544104358</v>
      </c>
      <c r="G74" s="62">
        <v>4.5515923157076728</v>
      </c>
    </row>
    <row r="75" spans="2:7" ht="24.9" customHeight="1" x14ac:dyDescent="0.25">
      <c r="B75" s="19" t="s">
        <v>1333</v>
      </c>
      <c r="C75" s="134" t="s">
        <v>1338</v>
      </c>
      <c r="D75" s="135">
        <v>6.4122314488210215</v>
      </c>
      <c r="E75" s="135">
        <v>35.731632839558266</v>
      </c>
      <c r="F75" s="135">
        <v>39.92461271108656</v>
      </c>
      <c r="G75" s="135">
        <v>2.0348535469114206</v>
      </c>
    </row>
    <row r="76" spans="2:7" ht="24.9" customHeight="1" x14ac:dyDescent="0.25">
      <c r="B76" s="16" t="s">
        <v>1363</v>
      </c>
      <c r="C76" s="133" t="s">
        <v>1338</v>
      </c>
      <c r="D76" s="62">
        <v>12.684776346361918</v>
      </c>
      <c r="E76" s="62">
        <v>262.70913841719613</v>
      </c>
      <c r="F76" s="62">
        <v>281.61820467452173</v>
      </c>
      <c r="G76" s="138">
        <v>3.5624097910656221</v>
      </c>
    </row>
    <row r="77" spans="2:7" ht="24.9" customHeight="1" x14ac:dyDescent="0.25">
      <c r="B77" s="16" t="s">
        <v>1334</v>
      </c>
      <c r="C77" s="133" t="s">
        <v>1338</v>
      </c>
      <c r="D77" s="62">
        <v>16.292360469504601</v>
      </c>
      <c r="E77" s="62">
        <v>271.47037580130507</v>
      </c>
      <c r="F77" s="62">
        <v>287.76273627080968</v>
      </c>
      <c r="G77" s="138">
        <v>5.2458865082509867</v>
      </c>
    </row>
    <row r="78" spans="2:7" ht="24.9" customHeight="1" x14ac:dyDescent="0.25">
      <c r="B78" s="16" t="s">
        <v>1335</v>
      </c>
      <c r="C78" s="133" t="s">
        <v>1338</v>
      </c>
      <c r="D78" s="62">
        <v>11.783011701338571</v>
      </c>
      <c r="E78" s="62">
        <v>82.023480398834067</v>
      </c>
      <c r="F78" s="62">
        <v>88.146254649297006</v>
      </c>
      <c r="G78" s="138">
        <v>3.5050888345955329</v>
      </c>
    </row>
    <row r="79" spans="2:7" ht="24.9" customHeight="1" x14ac:dyDescent="0.25">
      <c r="B79" s="16" t="s">
        <v>1336</v>
      </c>
      <c r="C79" s="133" t="s">
        <v>1338</v>
      </c>
      <c r="D79" s="62">
        <v>0</v>
      </c>
      <c r="E79" s="62">
        <v>77.80135823429606</v>
      </c>
      <c r="F79" s="62">
        <v>77.80135823429606</v>
      </c>
      <c r="G79" s="138">
        <v>0</v>
      </c>
    </row>
    <row r="80" spans="2:7" ht="25.2" customHeight="1" x14ac:dyDescent="0.25">
      <c r="B80" s="19" t="s">
        <v>1337</v>
      </c>
      <c r="C80" s="134" t="s">
        <v>1338</v>
      </c>
      <c r="D80" s="63">
        <v>39.340813464235509</v>
      </c>
      <c r="E80" s="63">
        <v>453.97366382649227</v>
      </c>
      <c r="F80" s="63">
        <v>471.0302091402026</v>
      </c>
      <c r="G80" s="139">
        <v>13.12910284463895</v>
      </c>
    </row>
    <row r="81" spans="2:7" ht="25.2" customHeight="1" x14ac:dyDescent="0.25">
      <c r="B81" s="166" t="s">
        <v>1381</v>
      </c>
      <c r="C81" s="166"/>
      <c r="D81" s="166"/>
      <c r="E81" s="166"/>
      <c r="F81" s="166"/>
      <c r="G81" s="166"/>
    </row>
    <row r="82" spans="2:7" ht="25.2" customHeight="1" x14ac:dyDescent="0.25">
      <c r="B82" s="158"/>
      <c r="C82" s="158"/>
      <c r="D82" s="158"/>
      <c r="E82" s="158"/>
      <c r="F82" s="158"/>
      <c r="G82" s="158"/>
    </row>
    <row r="83" spans="2:7" ht="25.2" customHeight="1" x14ac:dyDescent="0.25"/>
    <row r="84" spans="2:7" ht="25.2" customHeight="1" x14ac:dyDescent="0.25"/>
    <row r="85" spans="2:7" ht="25.2" customHeight="1" x14ac:dyDescent="0.25"/>
    <row r="86" spans="2:7" ht="25.2" customHeight="1" x14ac:dyDescent="0.25"/>
    <row r="87" spans="2:7" ht="25.2" customHeight="1" x14ac:dyDescent="0.25"/>
    <row r="88" spans="2:7" ht="25.2" customHeight="1" x14ac:dyDescent="0.25"/>
    <row r="89" spans="2:7" ht="25.2" customHeight="1" x14ac:dyDescent="0.25"/>
    <row r="90" spans="2:7" ht="25.2" customHeight="1" x14ac:dyDescent="0.25"/>
    <row r="91" spans="2:7" ht="25.2" customHeight="1" x14ac:dyDescent="0.25"/>
    <row r="92" spans="2:7" ht="25.2" customHeight="1" x14ac:dyDescent="0.25"/>
    <row r="93" spans="2:7" ht="25.2" customHeight="1" x14ac:dyDescent="0.25"/>
    <row r="94" spans="2:7" ht="25.2" customHeight="1" x14ac:dyDescent="0.25"/>
    <row r="95" spans="2:7" ht="25.2" customHeight="1" x14ac:dyDescent="0.25"/>
    <row r="96" spans="2:7" ht="25.2" customHeight="1" x14ac:dyDescent="0.25"/>
    <row r="97" ht="25.2" customHeight="1" x14ac:dyDescent="0.25"/>
    <row r="98" ht="25.2" customHeight="1" x14ac:dyDescent="0.25"/>
    <row r="99" ht="25.2" customHeight="1" x14ac:dyDescent="0.25"/>
    <row r="100" ht="25.2" customHeight="1" x14ac:dyDescent="0.25"/>
    <row r="101" ht="25.2" customHeight="1" x14ac:dyDescent="0.25"/>
    <row r="102" ht="25.2" customHeight="1" x14ac:dyDescent="0.25"/>
    <row r="103" ht="25.2" customHeight="1" x14ac:dyDescent="0.25"/>
    <row r="104" ht="25.2" customHeight="1" x14ac:dyDescent="0.25"/>
    <row r="105" ht="25.2" customHeight="1" x14ac:dyDescent="0.25"/>
    <row r="106" ht="25.2" customHeight="1" x14ac:dyDescent="0.25"/>
    <row r="107" ht="25.2" customHeight="1" x14ac:dyDescent="0.25"/>
    <row r="108" ht="25.2" customHeight="1" x14ac:dyDescent="0.25"/>
    <row r="109" ht="25.2" customHeight="1" x14ac:dyDescent="0.25"/>
    <row r="110" ht="25.2" customHeight="1" x14ac:dyDescent="0.25"/>
    <row r="111" ht="25.2" customHeight="1" x14ac:dyDescent="0.25"/>
    <row r="112" ht="25.2" customHeight="1" x14ac:dyDescent="0.25"/>
    <row r="113" ht="25.2" customHeight="1" x14ac:dyDescent="0.25"/>
    <row r="114" ht="25.2" customHeight="1" x14ac:dyDescent="0.25"/>
    <row r="115" ht="25.2" customHeight="1" x14ac:dyDescent="0.25"/>
    <row r="116" ht="25.2" customHeight="1" x14ac:dyDescent="0.25"/>
    <row r="117" ht="25.2" customHeight="1" x14ac:dyDescent="0.25"/>
    <row r="118" ht="25.2" customHeight="1" x14ac:dyDescent="0.25"/>
    <row r="119" ht="25.2" customHeight="1" x14ac:dyDescent="0.25"/>
    <row r="120" ht="25.2" customHeight="1" x14ac:dyDescent="0.25"/>
    <row r="121" ht="25.2" customHeight="1" x14ac:dyDescent="0.25"/>
    <row r="122" ht="25.2" customHeight="1" x14ac:dyDescent="0.25"/>
    <row r="123" ht="25.2" customHeight="1" x14ac:dyDescent="0.25"/>
    <row r="124" ht="25.2" customHeight="1" x14ac:dyDescent="0.25"/>
    <row r="125" ht="25.2" customHeight="1" x14ac:dyDescent="0.25"/>
    <row r="126" ht="25.2" customHeight="1" x14ac:dyDescent="0.25"/>
    <row r="127" ht="25.2" customHeight="1" x14ac:dyDescent="0.25"/>
    <row r="128" ht="25.2" customHeight="1" x14ac:dyDescent="0.25"/>
    <row r="129" ht="25.2" customHeight="1" x14ac:dyDescent="0.25"/>
    <row r="130" ht="25.2" customHeight="1" x14ac:dyDescent="0.25"/>
    <row r="131" ht="25.2" customHeight="1" x14ac:dyDescent="0.25"/>
    <row r="132" ht="25.2" customHeight="1" x14ac:dyDescent="0.25"/>
    <row r="133" ht="25.2" customHeight="1" x14ac:dyDescent="0.25"/>
    <row r="134" ht="25.2" customHeight="1" x14ac:dyDescent="0.25"/>
    <row r="135" ht="25.2" customHeight="1" x14ac:dyDescent="0.25"/>
    <row r="136" ht="25.2" customHeight="1" x14ac:dyDescent="0.25"/>
    <row r="137" ht="25.2" customHeight="1" x14ac:dyDescent="0.25"/>
    <row r="138" ht="25.2" customHeight="1" x14ac:dyDescent="0.25"/>
    <row r="139" ht="25.2" customHeight="1" x14ac:dyDescent="0.25"/>
    <row r="140" ht="25.2" customHeight="1" x14ac:dyDescent="0.25"/>
    <row r="141" ht="25.2" customHeight="1" x14ac:dyDescent="0.25"/>
    <row r="142" ht="25.2" customHeight="1" x14ac:dyDescent="0.25"/>
    <row r="143" ht="25.2" customHeight="1" x14ac:dyDescent="0.25"/>
    <row r="144" ht="25.2" customHeight="1" x14ac:dyDescent="0.25"/>
    <row r="145" ht="25.2" customHeight="1" x14ac:dyDescent="0.25"/>
    <row r="146" ht="25.2" customHeight="1" x14ac:dyDescent="0.25"/>
    <row r="147" ht="25.2" customHeight="1" x14ac:dyDescent="0.25"/>
    <row r="148" ht="25.2" customHeight="1" x14ac:dyDescent="0.25"/>
    <row r="149" ht="25.2" customHeight="1" x14ac:dyDescent="0.25"/>
    <row r="150" ht="25.2" customHeight="1" x14ac:dyDescent="0.25"/>
    <row r="151" ht="25.2" customHeight="1" x14ac:dyDescent="0.25"/>
    <row r="152" ht="25.2" customHeight="1" x14ac:dyDescent="0.25"/>
    <row r="153" ht="25.2" customHeight="1" x14ac:dyDescent="0.25"/>
    <row r="154" ht="25.2" customHeight="1" x14ac:dyDescent="0.25"/>
    <row r="155" ht="25.2" customHeight="1" x14ac:dyDescent="0.25"/>
    <row r="156" ht="25.2" customHeight="1" x14ac:dyDescent="0.25"/>
    <row r="157" ht="25.2" customHeight="1" x14ac:dyDescent="0.25"/>
  </sheetData>
  <mergeCells count="1">
    <mergeCell ref="B81:G8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6F43F-0DFC-44A7-A45A-9F33DF55B8BC}">
  <sheetPr codeName="Sheet22"/>
  <dimension ref="B2:H17"/>
  <sheetViews>
    <sheetView zoomScale="85" zoomScaleNormal="85" workbookViewId="0">
      <pane ySplit="3" topLeftCell="A4" activePane="bottomLeft" state="frozen"/>
      <selection activeCell="Z5" sqref="Z5:AE15"/>
      <selection pane="bottomLeft" activeCell="G20" sqref="G20"/>
    </sheetView>
  </sheetViews>
  <sheetFormatPr defaultColWidth="9.6640625" defaultRowHeight="13.2" x14ac:dyDescent="0.25"/>
  <cols>
    <col min="1" max="1" width="6.33203125" style="1" customWidth="1"/>
    <col min="2" max="2" width="22.44140625" style="33" customWidth="1"/>
    <col min="3" max="8" width="20" style="11" customWidth="1"/>
    <col min="9" max="16384" width="9.6640625" style="1"/>
  </cols>
  <sheetData>
    <row r="2" spans="2:8" s="92" customFormat="1" ht="24.9" customHeight="1" thickBot="1" x14ac:dyDescent="0.3">
      <c r="B2" s="93" t="s">
        <v>1791</v>
      </c>
      <c r="C2" s="147"/>
      <c r="D2" s="95"/>
      <c r="E2" s="95"/>
      <c r="F2" s="148"/>
      <c r="G2" s="147"/>
      <c r="H2" s="147"/>
    </row>
    <row r="3" spans="2:8" ht="24.9" customHeight="1" x14ac:dyDescent="0.25">
      <c r="B3" s="122" t="s">
        <v>1536</v>
      </c>
      <c r="C3" s="31" t="s">
        <v>1525</v>
      </c>
      <c r="D3" s="31" t="s">
        <v>498</v>
      </c>
      <c r="E3" s="31" t="s">
        <v>672</v>
      </c>
      <c r="F3" s="31" t="s">
        <v>504</v>
      </c>
      <c r="G3" s="31" t="s">
        <v>1526</v>
      </c>
      <c r="H3" s="31" t="s">
        <v>1527</v>
      </c>
    </row>
    <row r="4" spans="2:8" ht="50.25" customHeight="1" x14ac:dyDescent="0.25">
      <c r="B4" s="146" t="s">
        <v>1534</v>
      </c>
      <c r="C4" s="149">
        <v>1E-4</v>
      </c>
      <c r="D4" s="149">
        <v>1.4E-5</v>
      </c>
      <c r="E4" s="149">
        <v>5.0000000000000002E-5</v>
      </c>
      <c r="F4" s="149">
        <v>0.01</v>
      </c>
      <c r="G4" s="149">
        <v>2.0000000000000001E-4</v>
      </c>
      <c r="H4" s="149">
        <v>1.4999999999999999E-4</v>
      </c>
    </row>
    <row r="5" spans="2:8" ht="50.25" customHeight="1" x14ac:dyDescent="0.25">
      <c r="B5" s="146" t="s">
        <v>1528</v>
      </c>
      <c r="C5" s="149" t="s">
        <v>1963</v>
      </c>
      <c r="D5" s="149" t="s">
        <v>1964</v>
      </c>
      <c r="E5" s="149" t="s">
        <v>1965</v>
      </c>
      <c r="F5" s="149" t="s">
        <v>1966</v>
      </c>
      <c r="G5" s="149" t="s">
        <v>1967</v>
      </c>
      <c r="H5" s="149" t="s">
        <v>1968</v>
      </c>
    </row>
    <row r="6" spans="2:8" ht="50.25" customHeight="1" x14ac:dyDescent="0.25">
      <c r="B6" s="146" t="s">
        <v>1535</v>
      </c>
      <c r="C6" s="149" t="s">
        <v>1529</v>
      </c>
      <c r="D6" s="149">
        <v>0.26</v>
      </c>
      <c r="E6" s="149">
        <v>3.3</v>
      </c>
      <c r="F6" s="149">
        <v>1.8000000000000003</v>
      </c>
      <c r="G6" s="149">
        <v>1.3000000000000002E-4</v>
      </c>
      <c r="H6" s="149">
        <v>1.2E-2</v>
      </c>
    </row>
    <row r="7" spans="2:8" ht="50.25" customHeight="1" x14ac:dyDescent="0.25">
      <c r="B7" s="150" t="s">
        <v>1530</v>
      </c>
      <c r="C7" s="131" t="s">
        <v>1529</v>
      </c>
      <c r="D7" s="131" t="s">
        <v>1969</v>
      </c>
      <c r="E7" s="131" t="s">
        <v>1969</v>
      </c>
      <c r="F7" s="131" t="s">
        <v>1970</v>
      </c>
      <c r="G7" s="131" t="s">
        <v>1971</v>
      </c>
      <c r="H7" s="131" t="s">
        <v>1969</v>
      </c>
    </row>
    <row r="8" spans="2:8" ht="30" customHeight="1" x14ac:dyDescent="0.25">
      <c r="B8" s="166" t="s">
        <v>1962</v>
      </c>
      <c r="C8" s="166"/>
      <c r="D8" s="166"/>
      <c r="E8" s="166"/>
      <c r="F8" s="166"/>
      <c r="G8" s="166"/>
      <c r="H8" s="166"/>
    </row>
    <row r="9" spans="2:8" ht="21.9" customHeight="1" x14ac:dyDescent="0.25">
      <c r="B9" s="158" t="s">
        <v>1961</v>
      </c>
      <c r="C9" s="158"/>
      <c r="D9" s="158"/>
      <c r="E9" s="158"/>
      <c r="F9" s="158"/>
      <c r="G9" s="158"/>
      <c r="H9" s="158"/>
    </row>
    <row r="10" spans="2:8" ht="21.9" customHeight="1" x14ac:dyDescent="0.25">
      <c r="B10" s="158" t="s">
        <v>1960</v>
      </c>
      <c r="C10" s="158"/>
      <c r="D10" s="158"/>
      <c r="E10" s="158"/>
      <c r="F10" s="158"/>
      <c r="G10" s="158"/>
      <c r="H10" s="158"/>
    </row>
    <row r="11" spans="2:8" ht="31.5" customHeight="1" x14ac:dyDescent="0.25">
      <c r="B11" s="158" t="s">
        <v>1959</v>
      </c>
      <c r="C11" s="158"/>
      <c r="D11" s="158"/>
      <c r="E11" s="158"/>
      <c r="F11" s="158"/>
      <c r="G11" s="158"/>
      <c r="H11" s="158"/>
    </row>
    <row r="12" spans="2:8" ht="21.9" customHeight="1" x14ac:dyDescent="0.25">
      <c r="B12" s="158" t="s">
        <v>1958</v>
      </c>
      <c r="C12" s="158"/>
      <c r="D12" s="158"/>
      <c r="E12" s="158"/>
      <c r="F12" s="158"/>
      <c r="G12" s="158"/>
      <c r="H12" s="158"/>
    </row>
    <row r="13" spans="2:8" ht="21.9" customHeight="1" x14ac:dyDescent="0.25">
      <c r="B13" s="167" t="s">
        <v>1957</v>
      </c>
      <c r="C13" s="167"/>
      <c r="D13" s="167"/>
      <c r="E13" s="167"/>
      <c r="F13" s="167"/>
      <c r="G13" s="167"/>
      <c r="H13" s="167"/>
    </row>
    <row r="14" spans="2:8" ht="27.9" customHeight="1" x14ac:dyDescent="0.25">
      <c r="B14" s="167" t="s">
        <v>1956</v>
      </c>
      <c r="C14" s="167"/>
      <c r="D14" s="167"/>
      <c r="E14" s="167"/>
      <c r="F14" s="167"/>
      <c r="G14" s="167"/>
      <c r="H14" s="167"/>
    </row>
    <row r="15" spans="2:8" ht="21.9" customHeight="1" x14ac:dyDescent="0.25">
      <c r="B15" s="167" t="s">
        <v>1955</v>
      </c>
      <c r="C15" s="167"/>
      <c r="D15" s="167"/>
      <c r="E15" s="167"/>
      <c r="F15" s="167"/>
      <c r="G15" s="167"/>
      <c r="H15" s="167"/>
    </row>
    <row r="16" spans="2:8" ht="30" customHeight="1" x14ac:dyDescent="0.25">
      <c r="B16" s="167" t="s">
        <v>1954</v>
      </c>
      <c r="C16" s="167"/>
      <c r="D16" s="167"/>
      <c r="E16" s="167"/>
      <c r="F16" s="167"/>
      <c r="G16" s="167"/>
      <c r="H16" s="167"/>
    </row>
    <row r="17" spans="2:8" ht="27.9" customHeight="1" x14ac:dyDescent="0.25">
      <c r="B17" s="167" t="s">
        <v>1953</v>
      </c>
      <c r="C17" s="167"/>
      <c r="D17" s="167"/>
      <c r="E17" s="167"/>
      <c r="F17" s="167"/>
      <c r="G17" s="167"/>
      <c r="H17" s="167"/>
    </row>
  </sheetData>
  <mergeCells count="10">
    <mergeCell ref="B11:H11"/>
    <mergeCell ref="B10:H10"/>
    <mergeCell ref="B9:H9"/>
    <mergeCell ref="B8:H8"/>
    <mergeCell ref="B17:H17"/>
    <mergeCell ref="B16:H16"/>
    <mergeCell ref="B15:H15"/>
    <mergeCell ref="B14:H14"/>
    <mergeCell ref="B13:H13"/>
    <mergeCell ref="B12:H1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D60F3-3D0B-4C3A-AE75-B1D854D2FEAA}">
  <sheetPr codeName="Sheet23"/>
  <dimension ref="B1:AC127"/>
  <sheetViews>
    <sheetView zoomScale="70" zoomScaleNormal="70" workbookViewId="0">
      <pane ySplit="4" topLeftCell="A5" activePane="bottomLeft" state="frozen"/>
      <selection activeCell="Z5" sqref="Z5:AE15"/>
      <selection pane="bottomLeft" activeCell="B2" sqref="B2:K2"/>
    </sheetView>
  </sheetViews>
  <sheetFormatPr defaultColWidth="9.6640625" defaultRowHeight="13.2" x14ac:dyDescent="0.25"/>
  <cols>
    <col min="1" max="1" width="6.33203125" style="1" customWidth="1"/>
    <col min="2" max="2" width="33.88671875" style="36" customWidth="1"/>
    <col min="3" max="3" width="11.6640625" style="33" bestFit="1" customWidth="1"/>
    <col min="4" max="4" width="3" style="33" customWidth="1"/>
    <col min="5" max="11" width="16.6640625" style="10" customWidth="1"/>
    <col min="12" max="12" width="3" style="33" customWidth="1"/>
    <col min="13" max="18" width="16.6640625" style="10" customWidth="1"/>
    <col min="19" max="19" width="3" style="11" customWidth="1"/>
    <col min="20" max="24" width="18" style="10" customWidth="1"/>
    <col min="25" max="25" width="16.6640625" style="10" customWidth="1"/>
    <col min="26" max="26" width="16.6640625" style="5" customWidth="1"/>
    <col min="27" max="16384" width="9.6640625" style="1"/>
  </cols>
  <sheetData>
    <row r="1" spans="2:29" ht="13.2" customHeight="1" x14ac:dyDescent="0.25">
      <c r="C1" s="12"/>
      <c r="D1" s="12"/>
      <c r="E1" s="12"/>
      <c r="F1" s="12"/>
      <c r="G1" s="12"/>
      <c r="H1" s="12"/>
      <c r="I1" s="12"/>
      <c r="J1" s="12"/>
      <c r="K1" s="12"/>
      <c r="L1" s="12"/>
      <c r="M1" s="12"/>
      <c r="N1" s="12"/>
      <c r="O1" s="12"/>
      <c r="P1" s="12"/>
      <c r="Q1" s="12"/>
      <c r="R1" s="12"/>
      <c r="S1" s="44"/>
      <c r="T1" s="12"/>
      <c r="U1" s="12"/>
      <c r="V1" s="12"/>
      <c r="W1" s="12"/>
      <c r="X1" s="12"/>
      <c r="Y1" s="12"/>
      <c r="Z1" s="44"/>
      <c r="AA1" s="12"/>
      <c r="AB1" s="12"/>
      <c r="AC1" s="12"/>
    </row>
    <row r="2" spans="2:29" ht="45.6" customHeight="1" x14ac:dyDescent="0.25">
      <c r="B2" s="158" t="s">
        <v>1917</v>
      </c>
      <c r="C2" s="158"/>
      <c r="D2" s="158"/>
      <c r="E2" s="158"/>
      <c r="F2" s="158"/>
      <c r="G2" s="158"/>
      <c r="H2" s="158"/>
      <c r="I2" s="158"/>
      <c r="J2" s="158"/>
      <c r="K2" s="158"/>
      <c r="L2" s="99"/>
      <c r="M2" s="99"/>
      <c r="N2" s="99"/>
      <c r="O2" s="99"/>
      <c r="P2" s="99"/>
      <c r="Q2" s="99"/>
      <c r="R2" s="99"/>
      <c r="S2" s="99"/>
      <c r="T2" s="99"/>
      <c r="U2" s="99"/>
      <c r="V2" s="99"/>
      <c r="W2" s="99"/>
      <c r="X2" s="99"/>
      <c r="Y2" s="99"/>
      <c r="Z2" s="44"/>
      <c r="AA2" s="12"/>
      <c r="AB2" s="12"/>
      <c r="AC2" s="12"/>
    </row>
    <row r="3" spans="2:29" s="92" customFormat="1" ht="15.6" thickBot="1" x14ac:dyDescent="0.3">
      <c r="B3" s="93" t="s">
        <v>1792</v>
      </c>
      <c r="C3" s="93"/>
      <c r="D3" s="91"/>
      <c r="E3" s="93" t="s">
        <v>1531</v>
      </c>
      <c r="F3" s="93"/>
      <c r="H3" s="93"/>
      <c r="I3" s="93"/>
      <c r="J3" s="2"/>
      <c r="K3" s="2"/>
      <c r="L3" s="91"/>
      <c r="M3" s="93" t="s">
        <v>1009</v>
      </c>
      <c r="N3" s="93"/>
      <c r="P3" s="93"/>
      <c r="Q3" s="93"/>
      <c r="R3" s="2"/>
      <c r="S3" s="10"/>
      <c r="T3" s="93" t="s">
        <v>497</v>
      </c>
      <c r="V3" s="93"/>
      <c r="W3" s="93"/>
      <c r="X3" s="93"/>
      <c r="Y3" s="1"/>
      <c r="Z3" s="1"/>
    </row>
    <row r="4" spans="2:29" ht="24.9" customHeight="1" x14ac:dyDescent="0.25">
      <c r="B4" s="31" t="s">
        <v>0</v>
      </c>
      <c r="C4" s="29" t="s">
        <v>1</v>
      </c>
      <c r="D4" s="30"/>
      <c r="E4" s="31" t="s">
        <v>1525</v>
      </c>
      <c r="F4" s="31" t="s">
        <v>498</v>
      </c>
      <c r="G4" s="31" t="s">
        <v>672</v>
      </c>
      <c r="H4" s="31" t="s">
        <v>673</v>
      </c>
      <c r="I4" s="31" t="s">
        <v>880</v>
      </c>
      <c r="J4" s="31" t="s">
        <v>1532</v>
      </c>
      <c r="K4" s="31" t="s">
        <v>601</v>
      </c>
      <c r="L4" s="30"/>
      <c r="M4" s="31" t="s">
        <v>1525</v>
      </c>
      <c r="N4" s="31" t="s">
        <v>498</v>
      </c>
      <c r="O4" s="31" t="s">
        <v>672</v>
      </c>
      <c r="P4" s="31" t="s">
        <v>673</v>
      </c>
      <c r="Q4" s="31" t="s">
        <v>880</v>
      </c>
      <c r="R4" s="31" t="s">
        <v>601</v>
      </c>
      <c r="T4" s="31" t="s">
        <v>498</v>
      </c>
      <c r="U4" s="31" t="s">
        <v>672</v>
      </c>
      <c r="V4" s="31" t="s">
        <v>673</v>
      </c>
      <c r="W4" s="31" t="s">
        <v>880</v>
      </c>
      <c r="X4" s="31" t="s">
        <v>601</v>
      </c>
      <c r="Y4" s="1"/>
      <c r="Z4" s="1"/>
    </row>
    <row r="5" spans="2:29" ht="24.9" customHeight="1" x14ac:dyDescent="0.25">
      <c r="B5" s="168" t="s">
        <v>516</v>
      </c>
      <c r="C5" s="33">
        <v>100</v>
      </c>
      <c r="E5" s="101">
        <v>2.9719204107313459E-7</v>
      </c>
      <c r="F5" s="101">
        <v>7.6525614109864408E-6</v>
      </c>
      <c r="G5" s="101">
        <v>8.0668816489989753E-8</v>
      </c>
      <c r="H5" s="101">
        <v>6.9359567895805513E-10</v>
      </c>
      <c r="I5" s="101">
        <v>1.552806642671887E-8</v>
      </c>
      <c r="J5" s="101">
        <v>3.1056132853437741E-7</v>
      </c>
      <c r="K5" s="101">
        <v>3.6866695005389774E-7</v>
      </c>
      <c r="M5" s="54">
        <v>2.9719204107313459E-3</v>
      </c>
      <c r="N5" s="54">
        <v>0.5466115293561743</v>
      </c>
      <c r="O5" s="54">
        <v>1.613376329799795E-3</v>
      </c>
      <c r="P5" s="54">
        <v>4.4728344070735315E-9</v>
      </c>
      <c r="Q5" s="54">
        <v>7.7640332133594345E-5</v>
      </c>
      <c r="R5" s="54">
        <v>2.457779667025985E-3</v>
      </c>
      <c r="T5" s="101">
        <v>1.9896659668564746E-6</v>
      </c>
      <c r="U5" s="101">
        <v>2.6620709441696615E-7</v>
      </c>
      <c r="V5" s="101">
        <v>8.051101932732359E-11</v>
      </c>
      <c r="W5" s="54">
        <v>2.3889332964182877E-3</v>
      </c>
      <c r="X5" s="101">
        <v>4.4240034006467732E-9</v>
      </c>
      <c r="Y5" s="1"/>
      <c r="Z5" s="1"/>
    </row>
    <row r="6" spans="2:29" ht="24.9" customHeight="1" x14ac:dyDescent="0.25">
      <c r="B6" s="169"/>
      <c r="C6" s="33">
        <v>200</v>
      </c>
      <c r="E6" s="101">
        <v>2.0007980186349649E-6</v>
      </c>
      <c r="F6" s="101">
        <v>1.4052221345489055E-5</v>
      </c>
      <c r="G6" s="101">
        <v>9.2662009914704122E-8</v>
      </c>
      <c r="H6" s="101">
        <v>8.4902121066583689E-9</v>
      </c>
      <c r="I6" s="101">
        <v>2.801729618075027E-8</v>
      </c>
      <c r="J6" s="101">
        <v>5.6034592361500542E-7</v>
      </c>
      <c r="K6" s="101">
        <v>7.8693793212359849E-8</v>
      </c>
      <c r="M6" s="54">
        <v>2.0007980186349649E-2</v>
      </c>
      <c r="N6" s="54">
        <v>1.0037300961063611</v>
      </c>
      <c r="O6" s="54">
        <v>1.8532401982940825E-3</v>
      </c>
      <c r="P6" s="54">
        <v>7.7456481810900862E-7</v>
      </c>
      <c r="Q6" s="54">
        <v>1.4008648090375135E-4</v>
      </c>
      <c r="R6" s="54">
        <v>5.24625288082399E-4</v>
      </c>
      <c r="T6" s="101">
        <v>3.6535775498271546E-6</v>
      </c>
      <c r="U6" s="101">
        <v>3.0578463271852359E-7</v>
      </c>
      <c r="V6" s="101">
        <v>1.3942166725962157E-8</v>
      </c>
      <c r="W6" s="54">
        <v>4.3103532585769639E-3</v>
      </c>
      <c r="X6" s="101">
        <v>9.4432551854831817E-10</v>
      </c>
      <c r="Y6" s="1"/>
      <c r="Z6" s="1"/>
    </row>
    <row r="7" spans="2:29" ht="24.9" customHeight="1" x14ac:dyDescent="0.25">
      <c r="B7" s="169"/>
      <c r="C7" s="33">
        <v>300</v>
      </c>
      <c r="E7" s="101">
        <v>4.3405440339231932E-6</v>
      </c>
      <c r="F7" s="101">
        <v>2.6216130640695057E-5</v>
      </c>
      <c r="G7" s="101">
        <v>8.9902922693354121E-8</v>
      </c>
      <c r="H7" s="101">
        <v>2.0058246551793962E-9</v>
      </c>
      <c r="I7" s="101">
        <v>2.9314098751923461E-8</v>
      </c>
      <c r="J7" s="101">
        <v>5.8628197503846922E-7</v>
      </c>
      <c r="K7" s="101">
        <v>1.9040625498598856E-7</v>
      </c>
      <c r="M7" s="54">
        <v>4.3405440339231931E-2</v>
      </c>
      <c r="N7" s="54">
        <v>1.8725807600496469</v>
      </c>
      <c r="O7" s="54">
        <v>1.7980584538670823E-3</v>
      </c>
      <c r="P7" s="54">
        <v>1.633694432046609E-7</v>
      </c>
      <c r="Q7" s="54">
        <v>1.4657049375961729E-4</v>
      </c>
      <c r="R7" s="54">
        <v>1.2693750332399237E-3</v>
      </c>
      <c r="T7" s="101">
        <v>6.8161939665807152E-6</v>
      </c>
      <c r="U7" s="101">
        <v>2.9667964488806858E-7</v>
      </c>
      <c r="V7" s="101">
        <v>2.9406499776838969E-9</v>
      </c>
      <c r="W7" s="54">
        <v>4.5098613464497625E-3</v>
      </c>
      <c r="X7" s="101">
        <v>2.2848750598318627E-9</v>
      </c>
      <c r="Y7" s="1"/>
      <c r="Z7" s="1"/>
    </row>
    <row r="8" spans="2:29" ht="24.9" customHeight="1" x14ac:dyDescent="0.25">
      <c r="B8" s="169"/>
      <c r="C8" s="33">
        <v>400</v>
      </c>
      <c r="E8" s="101">
        <v>6.8353083991042131E-6</v>
      </c>
      <c r="F8" s="101">
        <v>3.8471599913536387E-5</v>
      </c>
      <c r="G8" s="101">
        <v>1.0921945424688404E-7</v>
      </c>
      <c r="H8" s="101">
        <v>5.6846199324286109E-11</v>
      </c>
      <c r="I8" s="101">
        <v>2.7647499116494595E-8</v>
      </c>
      <c r="J8" s="101">
        <v>5.5294998232989188E-7</v>
      </c>
      <c r="K8" s="101">
        <v>1.5204013434295508E-7</v>
      </c>
      <c r="M8" s="54">
        <v>6.8353083991042132E-2</v>
      </c>
      <c r="N8" s="54">
        <v>2.7479714223954561</v>
      </c>
      <c r="O8" s="54">
        <v>2.1843890849376807E-3</v>
      </c>
      <c r="P8" s="54">
        <v>-3.0357556107340254E-8</v>
      </c>
      <c r="Q8" s="54">
        <v>1.3823749558247297E-4</v>
      </c>
      <c r="R8" s="54">
        <v>1.0136008956197005E-3</v>
      </c>
      <c r="T8" s="101">
        <v>1.0002615977519461E-5</v>
      </c>
      <c r="U8" s="101">
        <v>3.6042419901471734E-7</v>
      </c>
      <c r="V8" s="101">
        <v>-5.464360099321246E-10</v>
      </c>
      <c r="W8" s="54">
        <v>4.2534614025376291E-3</v>
      </c>
      <c r="X8" s="101">
        <v>1.8244816121154609E-9</v>
      </c>
      <c r="Y8" s="1"/>
      <c r="Z8" s="1"/>
    </row>
    <row r="9" spans="2:29" ht="24.9" customHeight="1" x14ac:dyDescent="0.25">
      <c r="B9" s="170"/>
      <c r="C9" s="38">
        <v>500</v>
      </c>
      <c r="E9" s="102">
        <v>8.6905592186906498E-6</v>
      </c>
      <c r="F9" s="102">
        <v>4.7342691777412557E-5</v>
      </c>
      <c r="G9" s="102">
        <v>1.1342266783162087E-7</v>
      </c>
      <c r="H9" s="102">
        <v>1.0165355059151947E-9</v>
      </c>
      <c r="I9" s="102">
        <v>3.4682685234482889E-8</v>
      </c>
      <c r="J9" s="102">
        <v>6.9365370468965784E-7</v>
      </c>
      <c r="K9" s="102">
        <v>3.4051136865313827E-7</v>
      </c>
      <c r="M9" s="59">
        <v>8.6905592186906494E-2</v>
      </c>
      <c r="N9" s="59">
        <v>3.3816208412437541</v>
      </c>
      <c r="O9" s="59">
        <v>2.2684533566324173E-3</v>
      </c>
      <c r="P9" s="59">
        <v>1.0165355059151946E-7</v>
      </c>
      <c r="Q9" s="59">
        <v>1.7341342617241444E-4</v>
      </c>
      <c r="R9" s="59">
        <v>2.2700757910209218E-3</v>
      </c>
      <c r="T9" s="102">
        <v>1.2309099862127265E-5</v>
      </c>
      <c r="U9" s="102">
        <v>3.7429480384434886E-7</v>
      </c>
      <c r="V9" s="102">
        <v>1.8297639106473509E-9</v>
      </c>
      <c r="W9" s="59">
        <v>5.335797728381983E-3</v>
      </c>
      <c r="X9" s="102">
        <v>4.0861364238376593E-9</v>
      </c>
      <c r="Y9" s="1"/>
      <c r="Z9" s="1"/>
    </row>
    <row r="10" spans="2:29" ht="24.9" customHeight="1" x14ac:dyDescent="0.25">
      <c r="B10" s="43"/>
      <c r="C10" s="40" t="s">
        <v>494</v>
      </c>
      <c r="D10" s="30"/>
      <c r="E10" s="101">
        <v>4.4328803422852311E-6</v>
      </c>
      <c r="F10" s="101">
        <v>2.6747041017623902E-5</v>
      </c>
      <c r="G10" s="101">
        <v>9.7175174235310588E-8</v>
      </c>
      <c r="H10" s="101">
        <v>2.0274061804098445E-9</v>
      </c>
      <c r="I10" s="101">
        <v>2.7037929142074015E-8</v>
      </c>
      <c r="J10" s="101">
        <v>5.407585828414803E-7</v>
      </c>
      <c r="K10" s="101">
        <v>2.2606370024966791E-7</v>
      </c>
      <c r="L10" s="30"/>
      <c r="M10" s="54">
        <v>4.4328803422852309E-2</v>
      </c>
      <c r="N10" s="54">
        <v>1.9105029298302785</v>
      </c>
      <c r="O10" s="54">
        <v>1.9435034847062112E-3</v>
      </c>
      <c r="P10" s="54">
        <v>2.0274061804098442E-7</v>
      </c>
      <c r="Q10" s="54">
        <v>1.3518964571037007E-4</v>
      </c>
      <c r="R10" s="54">
        <v>1.5070913349977861E-3</v>
      </c>
      <c r="T10" s="101">
        <v>6.606519131353104E-8</v>
      </c>
      <c r="U10" s="101">
        <v>3.2067807497652495E-7</v>
      </c>
      <c r="V10" s="101">
        <v>3.6493311247377207E-9</v>
      </c>
      <c r="W10" s="54">
        <v>4.1596814064729249E-3</v>
      </c>
      <c r="X10" s="101">
        <v>2.7127644029960149E-9</v>
      </c>
      <c r="Y10" s="1"/>
      <c r="Z10" s="1"/>
    </row>
    <row r="11" spans="2:29" ht="24.9" customHeight="1" x14ac:dyDescent="0.25">
      <c r="B11" s="37"/>
      <c r="C11" s="42" t="s">
        <v>501</v>
      </c>
      <c r="D11" s="30"/>
      <c r="E11" s="102">
        <v>3.4251627016251556E-6</v>
      </c>
      <c r="F11" s="102">
        <v>1.6490039230604865E-5</v>
      </c>
      <c r="G11" s="102">
        <v>1.373644668254975E-8</v>
      </c>
      <c r="H11" s="102">
        <v>3.2878430361535919E-9</v>
      </c>
      <c r="I11" s="102">
        <v>7.0255056558533185E-9</v>
      </c>
      <c r="J11" s="102">
        <v>1.4051011311706638E-7</v>
      </c>
      <c r="K11" s="102">
        <v>1.2440135335897761E-7</v>
      </c>
      <c r="L11" s="30"/>
      <c r="M11" s="59">
        <v>3.4251627016251555E-2</v>
      </c>
      <c r="N11" s="59">
        <v>1.1778599450432046</v>
      </c>
      <c r="O11" s="59">
        <v>2.7472893365099497E-4</v>
      </c>
      <c r="P11" s="59">
        <v>3.2878430361535922E-7</v>
      </c>
      <c r="Q11" s="59">
        <v>3.5127528279266595E-5</v>
      </c>
      <c r="R11" s="59">
        <v>8.2934235572651742E-4</v>
      </c>
      <c r="T11" s="102">
        <v>4.287410199957265E-6</v>
      </c>
      <c r="U11" s="102">
        <v>4.5330274052414185E-8</v>
      </c>
      <c r="V11" s="102">
        <v>5.9181174650764667E-9</v>
      </c>
      <c r="W11" s="59">
        <v>1.0808470239774336E-3</v>
      </c>
      <c r="X11" s="102">
        <v>1.4928162403077315E-9</v>
      </c>
      <c r="Y11" s="1"/>
      <c r="Z11" s="1"/>
    </row>
    <row r="12" spans="2:29" ht="24.9" customHeight="1" x14ac:dyDescent="0.25">
      <c r="B12" s="35"/>
      <c r="E12" s="101"/>
      <c r="F12" s="101"/>
      <c r="G12" s="101"/>
      <c r="H12" s="101"/>
      <c r="I12" s="101"/>
      <c r="J12" s="101"/>
      <c r="K12" s="101"/>
      <c r="M12" s="54"/>
      <c r="N12" s="54"/>
      <c r="O12" s="54"/>
      <c r="P12" s="54"/>
      <c r="Q12" s="54"/>
      <c r="R12" s="54"/>
      <c r="T12" s="101"/>
      <c r="U12" s="101"/>
      <c r="V12" s="101"/>
      <c r="W12" s="54"/>
      <c r="X12" s="101"/>
      <c r="Y12" s="1"/>
      <c r="Z12" s="1"/>
    </row>
    <row r="13" spans="2:29" ht="24.9" customHeight="1" x14ac:dyDescent="0.25">
      <c r="B13" s="169" t="s">
        <v>1020</v>
      </c>
      <c r="C13" s="33">
        <v>100</v>
      </c>
      <c r="E13" s="101">
        <v>3.1463319605419899E-6</v>
      </c>
      <c r="F13" s="101">
        <v>9.4581214834975033E-6</v>
      </c>
      <c r="G13" s="101">
        <v>2.6909172492390933E-7</v>
      </c>
      <c r="H13" s="101">
        <v>0</v>
      </c>
      <c r="I13" s="101">
        <v>6.8394369688023911E-8</v>
      </c>
      <c r="J13" s="101">
        <v>1.3678873937604782E-6</v>
      </c>
      <c r="K13" s="101">
        <v>3.1727808486578179E-7</v>
      </c>
      <c r="M13" s="54">
        <v>3.1463319605419898E-2</v>
      </c>
      <c r="N13" s="54">
        <v>0.67558010596410745</v>
      </c>
      <c r="O13" s="54">
        <v>5.3818344984781861E-3</v>
      </c>
      <c r="P13" s="54">
        <v>-7.5121799989615831E-8</v>
      </c>
      <c r="Q13" s="54">
        <v>3.4197184844011953E-4</v>
      </c>
      <c r="R13" s="54">
        <v>2.0157581461954046E-3</v>
      </c>
      <c r="T13" s="101">
        <v>2.459111585709351E-6</v>
      </c>
      <c r="U13" s="101">
        <v>8.8800269224890077E-7</v>
      </c>
      <c r="V13" s="101">
        <v>-1.3521923998130851E-9</v>
      </c>
      <c r="W13" s="54">
        <v>1.0522210721234446E-2</v>
      </c>
      <c r="X13" s="101">
        <v>3.6283646631517283E-9</v>
      </c>
      <c r="Y13" s="1"/>
      <c r="Z13" s="1"/>
    </row>
    <row r="14" spans="2:29" ht="24.9" customHeight="1" x14ac:dyDescent="0.25">
      <c r="B14" s="169"/>
      <c r="C14" s="33">
        <v>200</v>
      </c>
      <c r="E14" s="101">
        <v>6.1210747410456766E-6</v>
      </c>
      <c r="F14" s="101">
        <v>1.519203302845491E-5</v>
      </c>
      <c r="G14" s="101">
        <v>2.7897583100230233E-7</v>
      </c>
      <c r="H14" s="101">
        <v>2.0409098220417249E-8</v>
      </c>
      <c r="I14" s="101">
        <v>1.2134156151759954E-7</v>
      </c>
      <c r="J14" s="101">
        <v>2.4268312303519907E-6</v>
      </c>
      <c r="K14" s="101">
        <v>4.2952287475720399E-7</v>
      </c>
      <c r="M14" s="54">
        <v>6.1210747410456762E-2</v>
      </c>
      <c r="N14" s="54">
        <v>1.0851452163182078</v>
      </c>
      <c r="O14" s="54">
        <v>5.5795166200460463E-3</v>
      </c>
      <c r="P14" s="54">
        <v>2.0409098220417249E-6</v>
      </c>
      <c r="Q14" s="54">
        <v>6.0670780758799773E-4</v>
      </c>
      <c r="R14" s="54">
        <v>2.8634858317146935E-3</v>
      </c>
      <c r="T14" s="101">
        <v>3.9499285873982763E-6</v>
      </c>
      <c r="U14" s="101">
        <v>9.2062024230759766E-7</v>
      </c>
      <c r="V14" s="101">
        <v>3.6736376796751053E-8</v>
      </c>
      <c r="W14" s="54">
        <v>1.8667932541169156E-2</v>
      </c>
      <c r="X14" s="101">
        <v>5.1542744970864482E-9</v>
      </c>
      <c r="Y14" s="1"/>
      <c r="Z14" s="1"/>
    </row>
    <row r="15" spans="2:29" ht="24.9" customHeight="1" x14ac:dyDescent="0.25">
      <c r="B15" s="169"/>
      <c r="C15" s="33">
        <v>300</v>
      </c>
      <c r="E15" s="101">
        <v>6.7070016130522138E-6</v>
      </c>
      <c r="F15" s="101">
        <v>1.6326626656685449E-5</v>
      </c>
      <c r="G15" s="101">
        <v>2.7395667329673539E-7</v>
      </c>
      <c r="H15" s="101">
        <v>1.7167614651357033E-9</v>
      </c>
      <c r="I15" s="101">
        <v>1.0873668612034932E-7</v>
      </c>
      <c r="J15" s="101">
        <v>2.1747337224069865E-6</v>
      </c>
      <c r="K15" s="101">
        <v>5.2798989106660393E-7</v>
      </c>
      <c r="M15" s="54">
        <v>6.7070016130522131E-2</v>
      </c>
      <c r="N15" s="54">
        <v>1.1661876183346749</v>
      </c>
      <c r="O15" s="54">
        <v>5.4791334659347072E-3</v>
      </c>
      <c r="P15" s="54">
        <v>1.0446652121583456E-7</v>
      </c>
      <c r="Q15" s="54">
        <v>5.4368343060174653E-4</v>
      </c>
      <c r="R15" s="54">
        <v>3.5199326071106932E-3</v>
      </c>
      <c r="T15" s="101">
        <v>4.2449229307382169E-6</v>
      </c>
      <c r="U15" s="101">
        <v>9.0405702187922677E-7</v>
      </c>
      <c r="V15" s="101">
        <v>1.8803973818850224E-9</v>
      </c>
      <c r="W15" s="54">
        <v>1.6728720941592203E-2</v>
      </c>
      <c r="X15" s="101">
        <v>6.335878692799247E-9</v>
      </c>
      <c r="Y15" s="1"/>
      <c r="Z15" s="1"/>
    </row>
    <row r="16" spans="2:29" ht="24.9" customHeight="1" x14ac:dyDescent="0.25">
      <c r="B16" s="169"/>
      <c r="C16" s="33">
        <v>400</v>
      </c>
      <c r="E16" s="101">
        <v>4.6782940809755146E-6</v>
      </c>
      <c r="F16" s="101">
        <v>1.7893575355403321E-5</v>
      </c>
      <c r="G16" s="101">
        <v>2.9887105136041091E-7</v>
      </c>
      <c r="H16" s="101">
        <v>9.5721141071941503E-10</v>
      </c>
      <c r="I16" s="101">
        <v>1.0956885234404546E-7</v>
      </c>
      <c r="J16" s="101">
        <v>2.191377046880909E-6</v>
      </c>
      <c r="K16" s="101">
        <v>1.5079065124646477E-7</v>
      </c>
      <c r="M16" s="54">
        <v>4.6782940809755147E-2</v>
      </c>
      <c r="N16" s="54">
        <v>1.2781125253859515</v>
      </c>
      <c r="O16" s="54">
        <v>5.9774210272082176E-3</v>
      </c>
      <c r="P16" s="54">
        <v>6.0846950655251022E-8</v>
      </c>
      <c r="Q16" s="54">
        <v>5.4784426172022722E-4</v>
      </c>
      <c r="R16" s="54">
        <v>-2.535368971058203E-4</v>
      </c>
      <c r="T16" s="101">
        <v>4.6523295924048641E-6</v>
      </c>
      <c r="U16" s="101">
        <v>9.8627446948935594E-7</v>
      </c>
      <c r="V16" s="101">
        <v>1.0952451117945186E-9</v>
      </c>
      <c r="W16" s="54">
        <v>1.6856746514468529E-2</v>
      </c>
      <c r="X16" s="101">
        <v>-4.563664147904765E-10</v>
      </c>
      <c r="Y16" s="1"/>
      <c r="Z16" s="1"/>
    </row>
    <row r="17" spans="2:26" ht="24.9" customHeight="1" x14ac:dyDescent="0.25">
      <c r="B17" s="170"/>
      <c r="C17" s="38">
        <v>500</v>
      </c>
      <c r="E17" s="102">
        <v>7.3818924584622512E-6</v>
      </c>
      <c r="F17" s="102">
        <v>2.3258157615296045E-5</v>
      </c>
      <c r="G17" s="102">
        <v>2.9078701350024028E-7</v>
      </c>
      <c r="H17" s="102">
        <v>2.3869975799532197E-9</v>
      </c>
      <c r="I17" s="102">
        <v>1.408379367553701E-7</v>
      </c>
      <c r="J17" s="102">
        <v>2.8167587351074019E-6</v>
      </c>
      <c r="K17" s="102">
        <v>2.2080210876376422E-7</v>
      </c>
      <c r="M17" s="59">
        <v>7.3818924584622511E-2</v>
      </c>
      <c r="N17" s="59">
        <v>1.6612969725211462</v>
      </c>
      <c r="O17" s="59">
        <v>5.8157402700048056E-3</v>
      </c>
      <c r="P17" s="59">
        <v>2.3869975799532195E-7</v>
      </c>
      <c r="Q17" s="59">
        <v>7.0418968377685049E-4</v>
      </c>
      <c r="R17" s="59">
        <v>8.1864906639712138E-4</v>
      </c>
      <c r="T17" s="102">
        <v>6.0471209799769721E-6</v>
      </c>
      <c r="U17" s="102">
        <v>9.5959714455079282E-7</v>
      </c>
      <c r="V17" s="102">
        <v>4.2965956439157959E-9</v>
      </c>
      <c r="W17" s="59">
        <v>2.166737488544155E-2</v>
      </c>
      <c r="X17" s="102">
        <v>1.4735683195148183E-9</v>
      </c>
      <c r="Y17" s="1"/>
      <c r="Z17" s="1"/>
    </row>
    <row r="18" spans="2:26" ht="24.9" customHeight="1" x14ac:dyDescent="0.25">
      <c r="B18" s="43"/>
      <c r="C18" s="40" t="s">
        <v>494</v>
      </c>
      <c r="D18" s="30"/>
      <c r="E18" s="101">
        <v>5.6069189708155297E-6</v>
      </c>
      <c r="F18" s="101">
        <v>1.6425702827867444E-5</v>
      </c>
      <c r="G18" s="101">
        <v>2.8233645881671969E-7</v>
      </c>
      <c r="H18" s="101">
        <v>4.739602503837034E-9</v>
      </c>
      <c r="I18" s="101">
        <v>1.0977588128507766E-7</v>
      </c>
      <c r="J18" s="101">
        <v>2.1955176257015528E-6</v>
      </c>
      <c r="K18" s="101">
        <v>2.6892866262936277E-7</v>
      </c>
      <c r="L18" s="30"/>
      <c r="M18" s="54">
        <v>5.606918970815529E-2</v>
      </c>
      <c r="N18" s="54">
        <v>1.1732644877048177</v>
      </c>
      <c r="O18" s="54">
        <v>5.6467291763343929E-3</v>
      </c>
      <c r="P18" s="54">
        <v>4.7396025038370328E-7</v>
      </c>
      <c r="Q18" s="54">
        <v>5.488794064253883E-4</v>
      </c>
      <c r="R18" s="54">
        <v>1.7928577508624186E-3</v>
      </c>
      <c r="T18" s="101">
        <v>4.2706827352455364E-6</v>
      </c>
      <c r="U18" s="101">
        <v>9.3171031409517479E-7</v>
      </c>
      <c r="V18" s="101">
        <v>8.5312845069066621E-9</v>
      </c>
      <c r="W18" s="54">
        <v>1.6888597120781175E-2</v>
      </c>
      <c r="X18" s="101">
        <v>3.227143951552353E-9</v>
      </c>
      <c r="Y18" s="1"/>
      <c r="Z18" s="1"/>
    </row>
    <row r="19" spans="2:26" ht="24.9" customHeight="1" x14ac:dyDescent="0.25">
      <c r="B19" s="37"/>
      <c r="C19" s="42" t="s">
        <v>501</v>
      </c>
      <c r="D19" s="30"/>
      <c r="E19" s="102">
        <v>1.6986687051053705E-6</v>
      </c>
      <c r="F19" s="102">
        <v>4.9728270438313366E-6</v>
      </c>
      <c r="G19" s="102">
        <v>1.2265217340149283E-8</v>
      </c>
      <c r="H19" s="102">
        <v>8.8308518441699001E-9</v>
      </c>
      <c r="I19" s="102">
        <v>2.6514941725894789E-8</v>
      </c>
      <c r="J19" s="102">
        <v>5.3029883451789567E-7</v>
      </c>
      <c r="K19" s="102">
        <v>2.2891015191635793E-7</v>
      </c>
      <c r="L19" s="30"/>
      <c r="M19" s="59">
        <v>1.6986687051053721E-2</v>
      </c>
      <c r="N19" s="59">
        <v>0.35520193170223796</v>
      </c>
      <c r="O19" s="59">
        <v>2.4530434680298575E-4</v>
      </c>
      <c r="P19" s="59">
        <v>8.8308518441699019E-7</v>
      </c>
      <c r="Q19" s="59">
        <v>1.3257470862947394E-4</v>
      </c>
      <c r="R19" s="59">
        <v>1.5260676794423863E-3</v>
      </c>
      <c r="T19" s="102">
        <v>1.2929350313961476E-6</v>
      </c>
      <c r="U19" s="102">
        <v>4.0475217222492602E-8</v>
      </c>
      <c r="V19" s="102">
        <v>1.5895533319505826E-8</v>
      </c>
      <c r="W19" s="59">
        <v>4.0792218039838119E-3</v>
      </c>
      <c r="X19" s="102">
        <v>2.7469218229962956E-9</v>
      </c>
      <c r="Y19" s="1"/>
      <c r="Z19" s="1"/>
    </row>
    <row r="20" spans="2:26" ht="24.9" customHeight="1" x14ac:dyDescent="0.25">
      <c r="B20" s="35"/>
      <c r="C20" s="30"/>
      <c r="D20" s="30"/>
      <c r="E20" s="101"/>
      <c r="F20" s="101"/>
      <c r="G20" s="101"/>
      <c r="H20" s="101"/>
      <c r="I20" s="101"/>
      <c r="J20" s="101"/>
      <c r="K20" s="101"/>
      <c r="L20" s="30"/>
      <c r="M20" s="54"/>
      <c r="N20" s="54"/>
      <c r="O20" s="54"/>
      <c r="P20" s="54"/>
      <c r="Q20" s="54"/>
      <c r="R20" s="54"/>
      <c r="T20" s="101"/>
      <c r="U20" s="101"/>
      <c r="V20" s="101"/>
      <c r="W20" s="54"/>
      <c r="X20" s="101"/>
      <c r="Y20" s="1"/>
      <c r="Z20" s="1"/>
    </row>
    <row r="21" spans="2:26" ht="24.9" customHeight="1" x14ac:dyDescent="0.25">
      <c r="B21" s="169" t="s">
        <v>1024</v>
      </c>
      <c r="C21" s="33">
        <v>100</v>
      </c>
      <c r="E21" s="101">
        <v>4.6789209683436125E-6</v>
      </c>
      <c r="F21" s="101">
        <v>2.0296142428869517E-5</v>
      </c>
      <c r="G21" s="101">
        <v>5.1428556600879364E-8</v>
      </c>
      <c r="H21" s="101">
        <v>5.3837445380326397E-9</v>
      </c>
      <c r="I21" s="101">
        <v>1.4296976225757504E-6</v>
      </c>
      <c r="J21" s="101">
        <v>2.8593952451515008E-5</v>
      </c>
      <c r="K21" s="101">
        <v>4.3582129588010443E-7</v>
      </c>
      <c r="M21" s="54">
        <v>4.6789209683436125E-2</v>
      </c>
      <c r="N21" s="54">
        <v>1.4497244592049656</v>
      </c>
      <c r="O21" s="54">
        <v>1.0285711320175872E-3</v>
      </c>
      <c r="P21" s="54">
        <v>5.2674958386340159E-7</v>
      </c>
      <c r="Q21" s="54">
        <v>7.1484881128787521E-3</v>
      </c>
      <c r="R21" s="54">
        <v>2.9054753058673629E-3</v>
      </c>
      <c r="T21" s="101">
        <v>5.2769970315060746E-6</v>
      </c>
      <c r="U21" s="101">
        <v>1.697142367829019E-7</v>
      </c>
      <c r="V21" s="101">
        <v>9.4814925095412294E-9</v>
      </c>
      <c r="W21" s="54">
        <v>0.21995348039626927</v>
      </c>
      <c r="X21" s="101">
        <v>5.2298555505612534E-9</v>
      </c>
      <c r="Y21" s="1"/>
      <c r="Z21" s="1"/>
    </row>
    <row r="22" spans="2:26" ht="24.9" customHeight="1" x14ac:dyDescent="0.25">
      <c r="B22" s="169"/>
      <c r="C22" s="33">
        <v>200</v>
      </c>
      <c r="E22" s="101">
        <v>8.6060424261786645E-6</v>
      </c>
      <c r="F22" s="101">
        <v>4.0179889139559589E-5</v>
      </c>
      <c r="G22" s="101">
        <v>5.2809853022177914E-8</v>
      </c>
      <c r="H22" s="101">
        <v>1.4156375477056143E-10</v>
      </c>
      <c r="I22" s="101">
        <v>1.8386787522735265E-6</v>
      </c>
      <c r="J22" s="101">
        <v>3.6773575045470532E-5</v>
      </c>
      <c r="K22" s="101">
        <v>2.0787268897700537E-7</v>
      </c>
      <c r="M22" s="54">
        <v>8.6060424261786644E-2</v>
      </c>
      <c r="N22" s="54">
        <v>2.8699920813971134</v>
      </c>
      <c r="O22" s="54">
        <v>1.0561970604435582E-3</v>
      </c>
      <c r="P22" s="54">
        <v>-8.7563246956672647E-8</v>
      </c>
      <c r="Q22" s="54">
        <v>9.1933937613676315E-3</v>
      </c>
      <c r="R22" s="54">
        <v>1.3858179265133692E-3</v>
      </c>
      <c r="T22" s="101">
        <v>1.0446771176285493E-5</v>
      </c>
      <c r="U22" s="101">
        <v>1.742725149731871E-7</v>
      </c>
      <c r="V22" s="101">
        <v>-1.5761384452201079E-9</v>
      </c>
      <c r="W22" s="54">
        <v>0.28287365419592714</v>
      </c>
      <c r="X22" s="101">
        <v>2.4944722677240646E-9</v>
      </c>
      <c r="Y22" s="1"/>
      <c r="Z22" s="1"/>
    </row>
    <row r="23" spans="2:26" ht="24.9" customHeight="1" x14ac:dyDescent="0.25">
      <c r="B23" s="169"/>
      <c r="C23" s="33">
        <v>300</v>
      </c>
      <c r="E23" s="101">
        <v>9.8088500688289437E-6</v>
      </c>
      <c r="F23" s="101">
        <v>4.7101964692573046E-5</v>
      </c>
      <c r="G23" s="101">
        <v>6.038525476508279E-8</v>
      </c>
      <c r="H23" s="101">
        <v>1.5546593244504705E-9</v>
      </c>
      <c r="I23" s="101">
        <v>1.789823464207251E-6</v>
      </c>
      <c r="J23" s="101">
        <v>3.5796469284145019E-5</v>
      </c>
      <c r="K23" s="101">
        <v>5.0304950668685891E-7</v>
      </c>
      <c r="M23" s="54">
        <v>9.8088500688289434E-2</v>
      </c>
      <c r="N23" s="54">
        <v>3.3644260494695035</v>
      </c>
      <c r="O23" s="54">
        <v>1.2077050953016558E-3</v>
      </c>
      <c r="P23" s="54">
        <v>1.3920092050411574E-7</v>
      </c>
      <c r="Q23" s="54">
        <v>8.9491173210362544E-3</v>
      </c>
      <c r="R23" s="54">
        <v>3.353663377912393E-3</v>
      </c>
      <c r="T23" s="101">
        <v>1.2246510820068993E-5</v>
      </c>
      <c r="U23" s="101">
        <v>1.9927134072477319E-7</v>
      </c>
      <c r="V23" s="101">
        <v>2.5056165690740839E-9</v>
      </c>
      <c r="W23" s="54">
        <v>0.27535745603188472</v>
      </c>
      <c r="X23" s="101">
        <v>6.0365940802423074E-9</v>
      </c>
      <c r="Y23" s="1"/>
      <c r="Z23" s="1"/>
    </row>
    <row r="24" spans="2:26" ht="24.9" customHeight="1" x14ac:dyDescent="0.25">
      <c r="B24" s="169"/>
      <c r="C24" s="33">
        <v>400</v>
      </c>
      <c r="E24" s="101">
        <v>7.0893936242681461E-6</v>
      </c>
      <c r="F24" s="101">
        <v>3.9123991797084121E-5</v>
      </c>
      <c r="G24" s="101">
        <v>5.9475771867227899E-8</v>
      </c>
      <c r="H24" s="101">
        <v>1.7386514886109458E-9</v>
      </c>
      <c r="I24" s="101">
        <v>2.0421065468375937E-6</v>
      </c>
      <c r="J24" s="101">
        <v>4.0842130936751878E-5</v>
      </c>
      <c r="K24" s="101">
        <v>2.8899383236626401E-7</v>
      </c>
      <c r="M24" s="54">
        <v>7.0893936242681463E-2</v>
      </c>
      <c r="N24" s="54">
        <v>2.794570842648866</v>
      </c>
      <c r="O24" s="54">
        <v>1.1895154373445579E-3</v>
      </c>
      <c r="P24" s="54">
        <v>1.7386514886109458E-7</v>
      </c>
      <c r="Q24" s="54">
        <v>1.0210532734187969E-2</v>
      </c>
      <c r="R24" s="54">
        <v>1.9266255491084269E-3</v>
      </c>
      <c r="T24" s="101">
        <v>1.0172237867241871E-5</v>
      </c>
      <c r="U24" s="101">
        <v>1.9627004716185207E-7</v>
      </c>
      <c r="V24" s="101">
        <v>3.1295726794997029E-9</v>
      </c>
      <c r="W24" s="54">
        <v>0.31417023797501442</v>
      </c>
      <c r="X24" s="101">
        <v>3.467925988395168E-9</v>
      </c>
      <c r="Y24" s="1"/>
      <c r="Z24" s="1"/>
    </row>
    <row r="25" spans="2:26" ht="24.9" customHeight="1" x14ac:dyDescent="0.25">
      <c r="B25" s="170"/>
      <c r="C25" s="38">
        <v>500</v>
      </c>
      <c r="E25" s="102">
        <v>6.4064275523437685E-6</v>
      </c>
      <c r="F25" s="102">
        <v>3.884531658059566E-5</v>
      </c>
      <c r="G25" s="102">
        <v>5.9175186081735283E-8</v>
      </c>
      <c r="H25" s="102">
        <v>7.5887096564320887E-10</v>
      </c>
      <c r="I25" s="102">
        <v>3.0869180224371799E-6</v>
      </c>
      <c r="J25" s="102">
        <v>6.1738360448743604E-5</v>
      </c>
      <c r="K25" s="102">
        <v>6.5870817215394965E-7</v>
      </c>
      <c r="M25" s="59">
        <v>6.4064275523437686E-2</v>
      </c>
      <c r="N25" s="59">
        <v>2.7746654700425473</v>
      </c>
      <c r="O25" s="59">
        <v>1.1835037216347056E-3</v>
      </c>
      <c r="P25" s="59">
        <v>7.5887096564320879E-8</v>
      </c>
      <c r="Q25" s="59">
        <v>1.5434590112185899E-2</v>
      </c>
      <c r="R25" s="59">
        <v>4.3913878143596648E-3</v>
      </c>
      <c r="T25" s="102">
        <v>1.0099782310954872E-5</v>
      </c>
      <c r="U25" s="102">
        <v>1.9527811406972643E-7</v>
      </c>
      <c r="V25" s="102">
        <v>1.3659677381577762E-9</v>
      </c>
      <c r="W25" s="59">
        <v>0.47491046499033535</v>
      </c>
      <c r="X25" s="102">
        <v>7.9044980658473958E-9</v>
      </c>
      <c r="Y25" s="1"/>
      <c r="Z25" s="1"/>
    </row>
    <row r="26" spans="2:26" ht="24.9" customHeight="1" x14ac:dyDescent="0.25">
      <c r="B26" s="43"/>
      <c r="C26" s="40" t="s">
        <v>494</v>
      </c>
      <c r="D26" s="30"/>
      <c r="E26" s="101">
        <v>7.3179269279926275E-6</v>
      </c>
      <c r="F26" s="101">
        <v>3.7109460927736388E-5</v>
      </c>
      <c r="G26" s="101">
        <v>5.6654924467420649E-8</v>
      </c>
      <c r="H26" s="101">
        <v>1.6562790056725204E-9</v>
      </c>
      <c r="I26" s="101">
        <v>2.0374448816662603E-6</v>
      </c>
      <c r="J26" s="101">
        <v>4.074889763332521E-5</v>
      </c>
      <c r="K26" s="101">
        <v>4.1888909921283648E-7</v>
      </c>
      <c r="L26" s="30"/>
      <c r="M26" s="54">
        <v>7.3179269279926268E-2</v>
      </c>
      <c r="N26" s="54">
        <v>2.6506757805525991</v>
      </c>
      <c r="O26" s="54">
        <v>1.1330984893484128E-3</v>
      </c>
      <c r="P26" s="54">
        <v>1.6562790056725202E-7</v>
      </c>
      <c r="Q26" s="54">
        <v>1.0187224408331301E-2</v>
      </c>
      <c r="R26" s="54">
        <v>2.7925939947522436E-3</v>
      </c>
      <c r="T26" s="101">
        <v>9.6484598412114613E-6</v>
      </c>
      <c r="U26" s="101">
        <v>1.8696125074248813E-7</v>
      </c>
      <c r="V26" s="101">
        <v>2.9813022102105371E-9</v>
      </c>
      <c r="W26" s="54">
        <v>0.3134530587178862</v>
      </c>
      <c r="X26" s="101">
        <v>5.0266691905540372E-9</v>
      </c>
      <c r="Y26" s="1"/>
      <c r="Z26" s="1"/>
    </row>
    <row r="27" spans="2:26" ht="24.9" customHeight="1" x14ac:dyDescent="0.25">
      <c r="B27" s="37"/>
      <c r="C27" s="42" t="s">
        <v>501</v>
      </c>
      <c r="D27" s="30"/>
      <c r="E27" s="102">
        <v>1.9818773087658218E-6</v>
      </c>
      <c r="F27" s="102">
        <v>9.9879536105962646E-6</v>
      </c>
      <c r="G27" s="102">
        <v>4.192963101515431E-9</v>
      </c>
      <c r="H27" s="102">
        <v>2.2546301069628397E-9</v>
      </c>
      <c r="I27" s="102">
        <v>6.2681669486221281E-7</v>
      </c>
      <c r="J27" s="102">
        <v>1.2536333897244258E-5</v>
      </c>
      <c r="K27" s="102">
        <v>1.7768199610150877E-7</v>
      </c>
      <c r="L27" s="30"/>
      <c r="M27" s="59">
        <v>1.9818773087658208E-2</v>
      </c>
      <c r="N27" s="59">
        <v>0.71342525789973288</v>
      </c>
      <c r="O27" s="59">
        <v>8.3859262030308622E-5</v>
      </c>
      <c r="P27" s="59">
        <v>2.2546301069628397E-7</v>
      </c>
      <c r="Q27" s="59">
        <v>3.1340834743110641E-3</v>
      </c>
      <c r="R27" s="59">
        <v>1.1845466406767253E-3</v>
      </c>
      <c r="T27" s="102">
        <v>2.5968679387550295E-6</v>
      </c>
      <c r="U27" s="102">
        <v>1.3836778235000922E-8</v>
      </c>
      <c r="V27" s="102">
        <v>4.0583341925331122E-9</v>
      </c>
      <c r="W27" s="59">
        <v>9.6433337671109703E-2</v>
      </c>
      <c r="X27" s="102">
        <v>2.1321839532181056E-9</v>
      </c>
      <c r="Y27" s="1"/>
      <c r="Z27" s="1"/>
    </row>
    <row r="28" spans="2:26" ht="24.9" customHeight="1" x14ac:dyDescent="0.25">
      <c r="B28" s="35"/>
      <c r="C28" s="30"/>
      <c r="D28" s="30"/>
      <c r="E28" s="101"/>
      <c r="F28" s="101"/>
      <c r="G28" s="101"/>
      <c r="H28" s="101"/>
      <c r="I28" s="101"/>
      <c r="J28" s="101"/>
      <c r="K28" s="101"/>
      <c r="L28" s="30"/>
      <c r="M28" s="54"/>
      <c r="N28" s="54"/>
      <c r="O28" s="54"/>
      <c r="P28" s="54"/>
      <c r="Q28" s="54"/>
      <c r="R28" s="54"/>
      <c r="T28" s="101"/>
      <c r="U28" s="101"/>
      <c r="V28" s="101"/>
      <c r="W28" s="54"/>
      <c r="X28" s="101"/>
      <c r="Y28" s="1"/>
      <c r="Z28" s="1"/>
    </row>
    <row r="29" spans="2:26" ht="24.9" customHeight="1" x14ac:dyDescent="0.25">
      <c r="B29" s="169" t="s">
        <v>412</v>
      </c>
      <c r="C29" s="33">
        <v>100</v>
      </c>
      <c r="E29" s="101">
        <v>6.6996786318030583E-7</v>
      </c>
      <c r="F29" s="101">
        <v>1.6511464008233462E-6</v>
      </c>
      <c r="G29" s="101">
        <v>4.2338201769121109E-8</v>
      </c>
      <c r="H29" s="101">
        <v>4.4060293285460436E-9</v>
      </c>
      <c r="I29" s="152">
        <v>3.4839966049608826E-6</v>
      </c>
      <c r="J29" s="152">
        <v>6.9679932099217656E-5</v>
      </c>
      <c r="K29" s="101">
        <v>3.9639670996518272E-7</v>
      </c>
      <c r="M29" s="54">
        <v>6.6996786318030584E-3</v>
      </c>
      <c r="N29" s="54">
        <v>0.11793902863023902</v>
      </c>
      <c r="O29" s="54">
        <v>8.467640353824221E-4</v>
      </c>
      <c r="P29" s="54">
        <v>4.4060293285460437E-7</v>
      </c>
      <c r="Q29" s="54">
        <v>1.7419983024804412E-2</v>
      </c>
      <c r="R29" s="54">
        <v>2.6426447331012182E-3</v>
      </c>
      <c r="T29" s="101">
        <v>4.2929806421407003E-7</v>
      </c>
      <c r="U29" s="101">
        <v>1.3971606583809966E-7</v>
      </c>
      <c r="V29" s="101">
        <v>7.9308527913828801E-9</v>
      </c>
      <c r="W29" s="54">
        <v>0.53599947768628964</v>
      </c>
      <c r="X29" s="101">
        <v>4.756760519582193E-9</v>
      </c>
      <c r="Y29" s="1"/>
      <c r="Z29" s="1"/>
    </row>
    <row r="30" spans="2:26" ht="24.9" customHeight="1" x14ac:dyDescent="0.25">
      <c r="B30" s="169"/>
      <c r="C30" s="33">
        <v>200</v>
      </c>
      <c r="E30" s="101">
        <v>2.4966703594122737E-6</v>
      </c>
      <c r="F30" s="101">
        <v>4.1481837239837185E-6</v>
      </c>
      <c r="G30" s="101">
        <v>6.4344662255262725E-8</v>
      </c>
      <c r="H30" s="101">
        <v>3.2654793607052705E-9</v>
      </c>
      <c r="I30" s="152">
        <v>4.8193823213810137E-6</v>
      </c>
      <c r="J30" s="152">
        <v>9.6387646427620278E-5</v>
      </c>
      <c r="K30" s="101">
        <v>1.4809903881693187E-7</v>
      </c>
      <c r="M30" s="54">
        <v>2.4966703594122737E-2</v>
      </c>
      <c r="N30" s="54">
        <v>0.29629883742740848</v>
      </c>
      <c r="O30" s="54">
        <v>1.2868932451052543E-3</v>
      </c>
      <c r="P30" s="54">
        <v>3.2654793607052703E-7</v>
      </c>
      <c r="Q30" s="54">
        <v>2.4096911606905067E-2</v>
      </c>
      <c r="R30" s="54">
        <v>9.8732692544621246E-4</v>
      </c>
      <c r="T30" s="101">
        <v>1.0785277682357668E-6</v>
      </c>
      <c r="U30" s="101">
        <v>2.1233738544236698E-7</v>
      </c>
      <c r="V30" s="101">
        <v>5.8778628492694877E-9</v>
      </c>
      <c r="W30" s="54">
        <v>0.74144343405861746</v>
      </c>
      <c r="X30" s="101">
        <v>1.7771884658031825E-9</v>
      </c>
      <c r="Y30" s="1"/>
      <c r="Z30" s="1"/>
    </row>
    <row r="31" spans="2:26" ht="24.9" customHeight="1" x14ac:dyDescent="0.25">
      <c r="B31" s="169"/>
      <c r="C31" s="33">
        <v>300</v>
      </c>
      <c r="E31" s="101">
        <v>4.6284475649788141E-6</v>
      </c>
      <c r="F31" s="101">
        <v>7.3822021179615571E-6</v>
      </c>
      <c r="G31" s="101">
        <v>6.6061562725840438E-8</v>
      </c>
      <c r="H31" s="101">
        <v>1.7486162920419571E-8</v>
      </c>
      <c r="I31" s="152">
        <v>5.1144434299209929E-6</v>
      </c>
      <c r="J31" s="152">
        <v>1.0228886859841985E-4</v>
      </c>
      <c r="K31" s="101">
        <v>3.5540842328979049E-7</v>
      </c>
      <c r="M31" s="54">
        <v>4.6284475649788138E-2</v>
      </c>
      <c r="N31" s="54">
        <v>0.52730015128296837</v>
      </c>
      <c r="O31" s="54">
        <v>1.3212312545168086E-3</v>
      </c>
      <c r="P31" s="54">
        <v>1.748616292041957E-6</v>
      </c>
      <c r="Q31" s="54">
        <v>2.5572217149604962E-2</v>
      </c>
      <c r="R31" s="54">
        <v>2.3693894885986034E-3</v>
      </c>
      <c r="T31" s="101">
        <v>1.9193725506700047E-6</v>
      </c>
      <c r="U31" s="101">
        <v>2.1800315699527343E-7</v>
      </c>
      <c r="V31" s="101">
        <v>3.1475093256755236E-8</v>
      </c>
      <c r="W31" s="54">
        <v>0.78683745075707567</v>
      </c>
      <c r="X31" s="101">
        <v>4.2649010794774856E-9</v>
      </c>
      <c r="Y31" s="1"/>
      <c r="Z31" s="1"/>
    </row>
    <row r="32" spans="2:26" ht="24.9" customHeight="1" x14ac:dyDescent="0.25">
      <c r="B32" s="169"/>
      <c r="C32" s="33">
        <v>400</v>
      </c>
      <c r="E32" s="101">
        <v>6.1562181641373361E-6</v>
      </c>
      <c r="F32" s="101">
        <v>8.7012064200912354E-6</v>
      </c>
      <c r="G32" s="101">
        <v>5.9754899235034886E-8</v>
      </c>
      <c r="H32" s="101">
        <v>4.167487740400211E-9</v>
      </c>
      <c r="I32" s="152">
        <v>5.3640150670968035E-6</v>
      </c>
      <c r="J32" s="152">
        <v>1.0728030134193607E-4</v>
      </c>
      <c r="K32" s="101">
        <v>2.298955561903127E-7</v>
      </c>
      <c r="M32" s="54">
        <v>6.1562181641373358E-2</v>
      </c>
      <c r="N32" s="54">
        <v>0.62151474429223108</v>
      </c>
      <c r="O32" s="54">
        <v>1.1950979847006977E-3</v>
      </c>
      <c r="P32" s="54">
        <v>4.1674877404002111E-7</v>
      </c>
      <c r="Q32" s="54">
        <v>2.6820075335484018E-2</v>
      </c>
      <c r="R32" s="54">
        <v>1.5326370412687515E-3</v>
      </c>
      <c r="T32" s="101">
        <v>2.2623136692237212E-6</v>
      </c>
      <c r="U32" s="101">
        <v>1.9719116747561512E-7</v>
      </c>
      <c r="V32" s="101">
        <v>7.5014779327203804E-9</v>
      </c>
      <c r="W32" s="54">
        <v>0.82523308724566191</v>
      </c>
      <c r="X32" s="101">
        <v>2.7587466742837526E-9</v>
      </c>
      <c r="Y32" s="1"/>
      <c r="Z32" s="1"/>
    </row>
    <row r="33" spans="2:26" ht="24.9" customHeight="1" x14ac:dyDescent="0.25">
      <c r="B33" s="170"/>
      <c r="C33" s="38">
        <v>500</v>
      </c>
      <c r="E33" s="102">
        <v>7.1779474708131745E-6</v>
      </c>
      <c r="F33" s="102">
        <v>1.0526063801200534E-5</v>
      </c>
      <c r="G33" s="102">
        <v>6.4220778242344456E-8</v>
      </c>
      <c r="H33" s="102">
        <v>3.6745485280689263E-9</v>
      </c>
      <c r="I33" s="153">
        <v>5.9002650393305673E-6</v>
      </c>
      <c r="J33" s="153">
        <v>1.1800530078661135E-4</v>
      </c>
      <c r="K33" s="102">
        <v>4.8738152402578155E-7</v>
      </c>
      <c r="M33" s="59">
        <v>7.1779474708131744E-2</v>
      </c>
      <c r="N33" s="59">
        <v>0.75186170008575248</v>
      </c>
      <c r="O33" s="59">
        <v>1.284415564846889E-3</v>
      </c>
      <c r="P33" s="59">
        <v>3.6745485280689263E-7</v>
      </c>
      <c r="Q33" s="59">
        <v>2.9501325196652835E-2</v>
      </c>
      <c r="R33" s="59">
        <v>3.2492101601718773E-3</v>
      </c>
      <c r="T33" s="102">
        <v>2.7367765883121392E-6</v>
      </c>
      <c r="U33" s="102">
        <v>2.1192856819973668E-7</v>
      </c>
      <c r="V33" s="102">
        <v>6.6141873505240684E-9</v>
      </c>
      <c r="W33" s="59">
        <v>0.9077330829739334</v>
      </c>
      <c r="X33" s="102">
        <v>5.848578288309379E-9</v>
      </c>
      <c r="Y33" s="1"/>
      <c r="Z33" s="1"/>
    </row>
    <row r="34" spans="2:26" ht="24.9" customHeight="1" x14ac:dyDescent="0.25">
      <c r="B34" s="43"/>
      <c r="C34" s="40" t="s">
        <v>494</v>
      </c>
      <c r="D34" s="30"/>
      <c r="E34" s="101">
        <v>4.2258502845043812E-6</v>
      </c>
      <c r="F34" s="101">
        <v>6.4817604928120782E-6</v>
      </c>
      <c r="G34" s="101">
        <v>5.934402084552072E-8</v>
      </c>
      <c r="H34" s="101">
        <v>6.5999415756280041E-9</v>
      </c>
      <c r="I34" s="101">
        <v>4.9364204925380524E-6</v>
      </c>
      <c r="J34" s="101">
        <v>9.8728409850761044E-5</v>
      </c>
      <c r="K34" s="101">
        <v>3.2343625045759985E-7</v>
      </c>
      <c r="L34" s="30"/>
      <c r="M34" s="54">
        <v>4.2258502845043809E-2</v>
      </c>
      <c r="N34" s="54">
        <v>0.46298289234371987</v>
      </c>
      <c r="O34" s="54">
        <v>1.1868804169104144E-3</v>
      </c>
      <c r="P34" s="54">
        <v>6.5999415756280036E-7</v>
      </c>
      <c r="Q34" s="54">
        <v>2.4682102462690259E-2</v>
      </c>
      <c r="R34" s="54">
        <v>2.1562416697173325E-3</v>
      </c>
      <c r="T34" s="101">
        <v>1.6852577281311403E-6</v>
      </c>
      <c r="U34" s="101">
        <v>1.958352687902184E-7</v>
      </c>
      <c r="V34" s="101">
        <v>1.1879894836130409E-8</v>
      </c>
      <c r="W34" s="54">
        <v>0.75944930654431553</v>
      </c>
      <c r="X34" s="101">
        <v>3.8812350054911986E-9</v>
      </c>
      <c r="Y34" s="1"/>
      <c r="Z34" s="1"/>
    </row>
    <row r="35" spans="2:26" ht="24.9" customHeight="1" x14ac:dyDescent="0.25">
      <c r="B35" s="37"/>
      <c r="C35" s="42" t="s">
        <v>501</v>
      </c>
      <c r="D35" s="30"/>
      <c r="E35" s="102">
        <v>2.6569552840610365E-6</v>
      </c>
      <c r="F35" s="102">
        <v>3.5662843982356204E-6</v>
      </c>
      <c r="G35" s="102">
        <v>9.7887850323770719E-9</v>
      </c>
      <c r="H35" s="102">
        <v>6.1015666127983177E-9</v>
      </c>
      <c r="I35" s="102">
        <v>9.0370884132014025E-7</v>
      </c>
      <c r="J35" s="102">
        <v>1.8074176826402804E-5</v>
      </c>
      <c r="K35" s="102">
        <v>1.3482998598461465E-7</v>
      </c>
      <c r="L35" s="30"/>
      <c r="M35" s="59">
        <v>2.6569552840610362E-2</v>
      </c>
      <c r="N35" s="59">
        <v>0.25473459987397307</v>
      </c>
      <c r="O35" s="59">
        <v>1.9577570064754142E-4</v>
      </c>
      <c r="P35" s="59">
        <v>6.1015666127983175E-7</v>
      </c>
      <c r="Q35" s="59">
        <v>4.5185442066007012E-3</v>
      </c>
      <c r="R35" s="59">
        <v>8.9886657323076441E-4</v>
      </c>
      <c r="T35" s="102">
        <v>9.2723394354126145E-7</v>
      </c>
      <c r="U35" s="102">
        <v>3.2302990606844326E-8</v>
      </c>
      <c r="V35" s="102">
        <v>1.0982819903036976E-8</v>
      </c>
      <c r="W35" s="59">
        <v>0.13903212943386795</v>
      </c>
      <c r="X35" s="102">
        <v>1.6179598318153758E-9</v>
      </c>
      <c r="Y35" s="1"/>
      <c r="Z35" s="1"/>
    </row>
    <row r="36" spans="2:26" ht="24.9" customHeight="1" x14ac:dyDescent="0.25">
      <c r="B36" s="35"/>
      <c r="C36" s="30"/>
      <c r="D36" s="30"/>
      <c r="E36" s="101"/>
      <c r="F36" s="101"/>
      <c r="G36" s="101"/>
      <c r="H36" s="101"/>
      <c r="I36" s="101"/>
      <c r="J36" s="101"/>
      <c r="K36" s="101"/>
      <c r="L36" s="30"/>
      <c r="M36" s="54"/>
      <c r="N36" s="54"/>
      <c r="O36" s="54"/>
      <c r="P36" s="54"/>
      <c r="Q36" s="54"/>
      <c r="R36" s="54"/>
      <c r="T36" s="101"/>
      <c r="U36" s="101"/>
      <c r="V36" s="101"/>
      <c r="W36" s="54"/>
      <c r="X36" s="101"/>
      <c r="Y36" s="1"/>
      <c r="Z36" s="1"/>
    </row>
    <row r="37" spans="2:26" ht="24.9" customHeight="1" x14ac:dyDescent="0.25">
      <c r="B37" s="169" t="s">
        <v>1031</v>
      </c>
      <c r="C37" s="33">
        <v>100</v>
      </c>
      <c r="E37" s="101">
        <v>6.1585004784293708E-7</v>
      </c>
      <c r="F37" s="101">
        <v>4.3683554831593658E-6</v>
      </c>
      <c r="G37" s="101">
        <v>7.7885237957956767E-8</v>
      </c>
      <c r="H37" s="101">
        <v>2.3197587863773714E-8</v>
      </c>
      <c r="I37" s="152">
        <v>6.4379828383198361E-7</v>
      </c>
      <c r="J37" s="152">
        <v>1.2875965676639672E-5</v>
      </c>
      <c r="K37" s="101">
        <v>7.9775619587652984E-7</v>
      </c>
      <c r="M37" s="54">
        <v>6.1585004784293707E-3</v>
      </c>
      <c r="N37" s="54">
        <v>0.31202539165424042</v>
      </c>
      <c r="O37" s="54">
        <v>1.5577047591591353E-3</v>
      </c>
      <c r="P37" s="54">
        <v>2.3197587863773714E-6</v>
      </c>
      <c r="Q37" s="54">
        <v>3.2189914191599178E-3</v>
      </c>
      <c r="R37" s="54">
        <v>5.3183746391768658E-3</v>
      </c>
      <c r="T37" s="101">
        <v>1.1357724256214351E-6</v>
      </c>
      <c r="U37" s="101">
        <v>2.5702128526125732E-7</v>
      </c>
      <c r="V37" s="101">
        <v>4.1755658154792694E-8</v>
      </c>
      <c r="W37" s="54">
        <v>9.9045889820305155E-2</v>
      </c>
      <c r="X37" s="101">
        <v>9.5730743505183582E-9</v>
      </c>
      <c r="Y37" s="1"/>
      <c r="Z37" s="1"/>
    </row>
    <row r="38" spans="2:26" ht="24.9" customHeight="1" x14ac:dyDescent="0.25">
      <c r="B38" s="169"/>
      <c r="C38" s="33">
        <v>200</v>
      </c>
      <c r="E38" s="101">
        <v>1.0209653412330893E-6</v>
      </c>
      <c r="F38" s="101">
        <v>1.8432042125773097E-6</v>
      </c>
      <c r="G38" s="101">
        <v>6.3786433975938903E-8</v>
      </c>
      <c r="H38" s="101">
        <v>1.5108528815600254E-8</v>
      </c>
      <c r="I38" s="152">
        <v>8.3622478460682483E-7</v>
      </c>
      <c r="J38" s="152">
        <v>1.6724495692136498E-5</v>
      </c>
      <c r="K38" s="101">
        <v>1.2617413475791373E-6</v>
      </c>
      <c r="M38" s="54">
        <v>1.0209653412330892E-2</v>
      </c>
      <c r="N38" s="54">
        <v>0.13165744375552213</v>
      </c>
      <c r="O38" s="54">
        <v>1.2757286795187779E-3</v>
      </c>
      <c r="P38" s="54">
        <v>1.5108528815600254E-6</v>
      </c>
      <c r="Q38" s="54">
        <v>4.1811239230341241E-3</v>
      </c>
      <c r="R38" s="54">
        <v>8.4116089838609156E-3</v>
      </c>
      <c r="T38" s="101">
        <v>4.7923309527010058E-7</v>
      </c>
      <c r="U38" s="101">
        <v>2.1049523212059838E-7</v>
      </c>
      <c r="V38" s="101">
        <v>2.7195351868080461E-8</v>
      </c>
      <c r="W38" s="54">
        <v>0.12864996686258842</v>
      </c>
      <c r="X38" s="101">
        <v>1.5140896170949648E-8</v>
      </c>
      <c r="Y38" s="1"/>
      <c r="Z38" s="1"/>
    </row>
    <row r="39" spans="2:26" ht="24.9" customHeight="1" x14ac:dyDescent="0.25">
      <c r="B39" s="169"/>
      <c r="C39" s="33">
        <v>300</v>
      </c>
      <c r="E39" s="101">
        <v>1.7021304568779153E-6</v>
      </c>
      <c r="F39" s="101">
        <v>2.7873350788624002E-6</v>
      </c>
      <c r="G39" s="101">
        <v>8.4942738105626766E-8</v>
      </c>
      <c r="H39" s="101">
        <v>2.0547126632761771E-8</v>
      </c>
      <c r="I39" s="152">
        <v>9.703898304336182E-7</v>
      </c>
      <c r="J39" s="152">
        <v>1.9407796608672363E-5</v>
      </c>
      <c r="K39" s="101">
        <v>6.8513158994797602E-7</v>
      </c>
      <c r="M39" s="54">
        <v>1.7021304568779153E-2</v>
      </c>
      <c r="N39" s="54">
        <v>0.19909536277588574</v>
      </c>
      <c r="O39" s="54">
        <v>1.6988547621125353E-3</v>
      </c>
      <c r="P39" s="54">
        <v>2.0547126632761771E-6</v>
      </c>
      <c r="Q39" s="54">
        <v>4.851949152168091E-3</v>
      </c>
      <c r="R39" s="54">
        <v>4.5675439329865069E-3</v>
      </c>
      <c r="T39" s="101">
        <v>7.2470712050422412E-7</v>
      </c>
      <c r="U39" s="101">
        <v>2.8031103574856833E-7</v>
      </c>
      <c r="V39" s="101">
        <v>3.6984827938971192E-8</v>
      </c>
      <c r="W39" s="54">
        <v>0.14929074314363355</v>
      </c>
      <c r="X39" s="101">
        <v>8.2215790793757128E-9</v>
      </c>
      <c r="Y39" s="1"/>
      <c r="Z39" s="1"/>
    </row>
    <row r="40" spans="2:26" ht="24.9" customHeight="1" x14ac:dyDescent="0.25">
      <c r="B40" s="169"/>
      <c r="C40" s="33">
        <v>400</v>
      </c>
      <c r="E40" s="101">
        <v>1.1290001229255689E-6</v>
      </c>
      <c r="F40" s="101">
        <v>2.5757690683186584E-6</v>
      </c>
      <c r="G40" s="101">
        <v>7.5418391320831632E-8</v>
      </c>
      <c r="H40" s="101">
        <v>2.024524008362619E-8</v>
      </c>
      <c r="I40" s="152">
        <v>9.5132863174682566E-7</v>
      </c>
      <c r="J40" s="152">
        <v>1.9026572634936512E-5</v>
      </c>
      <c r="K40" s="101">
        <v>2.655087563379862E-7</v>
      </c>
      <c r="M40" s="54">
        <v>1.1290001229255688E-2</v>
      </c>
      <c r="N40" s="54">
        <v>0.18398350487990417</v>
      </c>
      <c r="O40" s="54">
        <v>1.5083678264166327E-3</v>
      </c>
      <c r="P40" s="54">
        <v>2.0245240083626192E-6</v>
      </c>
      <c r="Q40" s="54">
        <v>4.7566431587341279E-3</v>
      </c>
      <c r="R40" s="54">
        <v>1.7700583755865748E-3</v>
      </c>
      <c r="T40" s="101">
        <v>6.6969995776285118E-7</v>
      </c>
      <c r="U40" s="101">
        <v>2.4888069135874435E-7</v>
      </c>
      <c r="V40" s="101">
        <v>3.6441432150527145E-8</v>
      </c>
      <c r="W40" s="54">
        <v>0.14635825103797315</v>
      </c>
      <c r="X40" s="101">
        <v>3.1861050760558344E-9</v>
      </c>
      <c r="Y40" s="1"/>
      <c r="Z40" s="1"/>
    </row>
    <row r="41" spans="2:26" ht="24.9" customHeight="1" x14ac:dyDescent="0.25">
      <c r="B41" s="170"/>
      <c r="C41" s="38">
        <v>500</v>
      </c>
      <c r="E41" s="102">
        <v>1.503246228415836E-6</v>
      </c>
      <c r="F41" s="102">
        <v>3.3844866279366522E-6</v>
      </c>
      <c r="G41" s="102">
        <v>8.5282492220640655E-8</v>
      </c>
      <c r="H41" s="102">
        <v>1.8938792023490472E-8</v>
      </c>
      <c r="I41" s="153">
        <v>1.0590810110047948E-6</v>
      </c>
      <c r="J41" s="153">
        <v>2.1181620220095896E-5</v>
      </c>
      <c r="K41" s="102">
        <v>1.0550272860222388E-6</v>
      </c>
      <c r="M41" s="59">
        <v>1.503246228415836E-2</v>
      </c>
      <c r="N41" s="59">
        <v>0.24174904485261803</v>
      </c>
      <c r="O41" s="59">
        <v>1.7056498444128129E-3</v>
      </c>
      <c r="P41" s="59">
        <v>1.8938792023490472E-6</v>
      </c>
      <c r="Q41" s="59">
        <v>5.2954050550239736E-3</v>
      </c>
      <c r="R41" s="59">
        <v>7.0335152401482595E-3</v>
      </c>
      <c r="T41" s="102">
        <v>8.7996652326352958E-7</v>
      </c>
      <c r="U41" s="102">
        <v>2.8143222432811417E-7</v>
      </c>
      <c r="V41" s="102">
        <v>3.4089825642282853E-8</v>
      </c>
      <c r="W41" s="59">
        <v>0.16293554015458381</v>
      </c>
      <c r="X41" s="102">
        <v>1.2660327432266865E-8</v>
      </c>
      <c r="Y41" s="1"/>
      <c r="Z41" s="1"/>
    </row>
    <row r="42" spans="2:26" ht="24.9" customHeight="1" x14ac:dyDescent="0.25">
      <c r="B42" s="43"/>
      <c r="C42" s="40" t="s">
        <v>494</v>
      </c>
      <c r="D42" s="30"/>
      <c r="E42" s="101">
        <v>1.1942384394590693E-6</v>
      </c>
      <c r="F42" s="101">
        <v>2.991830094170877E-6</v>
      </c>
      <c r="G42" s="101">
        <v>7.746305871619895E-8</v>
      </c>
      <c r="H42" s="101">
        <v>1.9607455083850479E-8</v>
      </c>
      <c r="I42" s="101">
        <v>8.921645083248093E-7</v>
      </c>
      <c r="J42" s="101">
        <v>1.7843290166496189E-5</v>
      </c>
      <c r="K42" s="101">
        <v>8.1303303515277358E-7</v>
      </c>
      <c r="L42" s="30"/>
      <c r="M42" s="54">
        <v>1.1942384394590694E-2</v>
      </c>
      <c r="N42" s="54">
        <v>0.21370214958363412</v>
      </c>
      <c r="O42" s="54">
        <v>1.5492611743239788E-3</v>
      </c>
      <c r="P42" s="54">
        <v>1.9607455083850481E-6</v>
      </c>
      <c r="Q42" s="54">
        <v>4.4608225416240474E-3</v>
      </c>
      <c r="R42" s="54">
        <v>5.4202202343518243E-3</v>
      </c>
      <c r="T42" s="101">
        <v>7.7787582448442817E-7</v>
      </c>
      <c r="U42" s="101">
        <v>2.5562809376345651E-7</v>
      </c>
      <c r="V42" s="101">
        <v>3.529341915093087E-8</v>
      </c>
      <c r="W42" s="54">
        <v>0.13725607820381683</v>
      </c>
      <c r="X42" s="101">
        <v>9.7563964218332838E-9</v>
      </c>
      <c r="Y42" s="1"/>
      <c r="Z42" s="1"/>
    </row>
    <row r="43" spans="2:26" ht="24.9" customHeight="1" x14ac:dyDescent="0.25">
      <c r="B43" s="37"/>
      <c r="C43" s="42" t="s">
        <v>501</v>
      </c>
      <c r="D43" s="30"/>
      <c r="E43" s="102">
        <v>4.2492730291868356E-7</v>
      </c>
      <c r="F43" s="102">
        <v>9.4647605680554308E-7</v>
      </c>
      <c r="G43" s="102">
        <v>8.7820571117301346E-9</v>
      </c>
      <c r="H43" s="102">
        <v>2.9523826631507934E-9</v>
      </c>
      <c r="I43" s="102">
        <v>1.5991853202858108E-7</v>
      </c>
      <c r="J43" s="102">
        <v>3.198370640571621E-6</v>
      </c>
      <c r="K43" s="102">
        <v>3.7956401452514899E-7</v>
      </c>
      <c r="L43" s="30"/>
      <c r="M43" s="59">
        <v>4.2492730291868331E-3</v>
      </c>
      <c r="N43" s="59">
        <v>6.7605432628967219E-2</v>
      </c>
      <c r="O43" s="59">
        <v>1.7564114223460271E-4</v>
      </c>
      <c r="P43" s="59">
        <v>2.9523826631507937E-7</v>
      </c>
      <c r="Q43" s="59">
        <v>7.995926601429053E-4</v>
      </c>
      <c r="R43" s="59">
        <v>2.5304267635009926E-3</v>
      </c>
      <c r="T43" s="102">
        <v>2.4608377476944115E-7</v>
      </c>
      <c r="U43" s="102">
        <v>2.8980788468709445E-8</v>
      </c>
      <c r="V43" s="102">
        <v>5.3142887936714296E-9</v>
      </c>
      <c r="W43" s="59">
        <v>2.4602851081320137E-2</v>
      </c>
      <c r="X43" s="102">
        <v>4.5547681743017878E-9</v>
      </c>
      <c r="Y43" s="1"/>
      <c r="Z43" s="1"/>
    </row>
    <row r="44" spans="2:26" ht="24.9" customHeight="1" x14ac:dyDescent="0.25">
      <c r="B44" s="35"/>
      <c r="C44" s="30"/>
      <c r="D44" s="30"/>
      <c r="E44" s="101"/>
      <c r="F44" s="101"/>
      <c r="G44" s="101"/>
      <c r="H44" s="101"/>
      <c r="I44" s="101"/>
      <c r="J44" s="101"/>
      <c r="K44" s="101"/>
      <c r="L44" s="30"/>
      <c r="M44" s="54"/>
      <c r="N44" s="54"/>
      <c r="O44" s="54"/>
      <c r="P44" s="54"/>
      <c r="Q44" s="54"/>
      <c r="R44" s="54"/>
      <c r="T44" s="101"/>
      <c r="U44" s="101"/>
      <c r="V44" s="101"/>
      <c r="W44" s="54"/>
      <c r="X44" s="101"/>
      <c r="Y44" s="1"/>
      <c r="Z44" s="1"/>
    </row>
    <row r="45" spans="2:26" ht="24.9" customHeight="1" x14ac:dyDescent="0.25">
      <c r="B45" s="169" t="s">
        <v>49</v>
      </c>
      <c r="C45" s="33">
        <v>100</v>
      </c>
      <c r="E45" s="101">
        <v>1.4409367318835305E-7</v>
      </c>
      <c r="F45" s="101">
        <v>9.0160615590174326E-5</v>
      </c>
      <c r="G45" s="101">
        <v>1.5881257089388431E-7</v>
      </c>
      <c r="H45" s="101">
        <v>1.0495477645976638E-7</v>
      </c>
      <c r="I45" s="101">
        <v>6.8042063822050689E-6</v>
      </c>
      <c r="J45" s="101">
        <v>1.3608412764410136E-4</v>
      </c>
      <c r="K45" s="101">
        <v>3.1849293742275533E-4</v>
      </c>
      <c r="M45" s="54">
        <v>1.4409367318835304E-3</v>
      </c>
      <c r="N45" s="54">
        <v>6.4400439707267374</v>
      </c>
      <c r="O45" s="54">
        <v>3.1762514178776862E-3</v>
      </c>
      <c r="P45" s="54">
        <v>1.0495477645976638E-5</v>
      </c>
      <c r="Q45" s="54">
        <v>3.4021031911025346E-2</v>
      </c>
      <c r="R45" s="54">
        <v>2.1232862494850355</v>
      </c>
      <c r="T45" s="101">
        <v>2.3441760053445326E-5</v>
      </c>
      <c r="U45" s="101">
        <v>5.2408148394981822E-7</v>
      </c>
      <c r="V45" s="101">
        <v>1.8891859762757952E-7</v>
      </c>
      <c r="W45" s="54">
        <v>1.0468009818777027</v>
      </c>
      <c r="X45" s="101">
        <v>3.8219152490730637E-6</v>
      </c>
      <c r="Y45" s="1"/>
      <c r="Z45" s="1"/>
    </row>
    <row r="46" spans="2:26" ht="24.9" customHeight="1" x14ac:dyDescent="0.25">
      <c r="B46" s="169"/>
      <c r="C46" s="33">
        <v>200</v>
      </c>
      <c r="E46" s="101">
        <v>1.7882748664953893E-6</v>
      </c>
      <c r="F46" s="101">
        <v>1.5847303605129637E-4</v>
      </c>
      <c r="G46" s="101">
        <v>2.0111731398953447E-7</v>
      </c>
      <c r="H46" s="101">
        <v>1.7909106094898965E-7</v>
      </c>
      <c r="I46" s="101">
        <v>1.2235384251263023E-5</v>
      </c>
      <c r="J46" s="101">
        <v>2.4470768502526046E-4</v>
      </c>
      <c r="K46" s="101">
        <v>5.3087002819199953E-4</v>
      </c>
      <c r="M46" s="54">
        <v>1.7882748664953891E-2</v>
      </c>
      <c r="N46" s="54">
        <v>11.319502575092597</v>
      </c>
      <c r="O46" s="54">
        <v>4.0223462797906893E-3</v>
      </c>
      <c r="P46" s="54">
        <v>1.7909106094898963E-5</v>
      </c>
      <c r="Q46" s="54">
        <v>6.117692125631511E-2</v>
      </c>
      <c r="R46" s="54">
        <v>3.539133521279997</v>
      </c>
      <c r="T46" s="101">
        <v>4.1202989373337058E-5</v>
      </c>
      <c r="U46" s="101">
        <v>6.6368713616546367E-7</v>
      </c>
      <c r="V46" s="101">
        <v>3.2236390970818141E-7</v>
      </c>
      <c r="W46" s="54">
        <v>1.8823668078866187</v>
      </c>
      <c r="X46" s="101">
        <v>6.3704403383039946E-6</v>
      </c>
      <c r="Y46" s="1"/>
      <c r="Z46" s="1"/>
    </row>
    <row r="47" spans="2:26" ht="24.9" customHeight="1" x14ac:dyDescent="0.25">
      <c r="B47" s="169"/>
      <c r="C47" s="33">
        <v>300</v>
      </c>
      <c r="E47" s="101">
        <v>1.8534103930339228E-6</v>
      </c>
      <c r="F47" s="101">
        <v>6.2795581649919958E-5</v>
      </c>
      <c r="G47" s="101">
        <v>2.0182106150402674E-7</v>
      </c>
      <c r="H47" s="101">
        <v>1.2635512614643588E-7</v>
      </c>
      <c r="I47" s="101">
        <v>8.6129051522179994E-6</v>
      </c>
      <c r="J47" s="101">
        <v>1.7225810304435999E-4</v>
      </c>
      <c r="K47" s="101">
        <v>1.8550572617334824E-4</v>
      </c>
      <c r="M47" s="54">
        <v>1.8534103930339229E-2</v>
      </c>
      <c r="N47" s="54">
        <v>4.4853986892799966</v>
      </c>
      <c r="O47" s="54">
        <v>4.0364212300805346E-3</v>
      </c>
      <c r="P47" s="54">
        <v>1.2635512614643587E-5</v>
      </c>
      <c r="Q47" s="54">
        <v>4.3064525761089996E-2</v>
      </c>
      <c r="R47" s="54">
        <v>1.2367048411556549</v>
      </c>
      <c r="T47" s="101">
        <v>1.632685122897919E-5</v>
      </c>
      <c r="U47" s="101">
        <v>6.6600950296328823E-7</v>
      </c>
      <c r="V47" s="101">
        <v>2.2743922706358462E-7</v>
      </c>
      <c r="W47" s="54">
        <v>1.3250623311104612</v>
      </c>
      <c r="X47" s="101">
        <v>2.2260687140801788E-6</v>
      </c>
      <c r="Y47" s="1"/>
      <c r="Z47" s="1"/>
    </row>
    <row r="48" spans="2:26" ht="24.9" customHeight="1" x14ac:dyDescent="0.25">
      <c r="B48" s="169"/>
      <c r="C48" s="33">
        <v>400</v>
      </c>
      <c r="E48" s="101">
        <v>6.0663182196943139E-7</v>
      </c>
      <c r="F48" s="101">
        <v>1.632798584989153E-5</v>
      </c>
      <c r="G48" s="101">
        <v>1.2993381384999697E-7</v>
      </c>
      <c r="H48" s="101">
        <v>6.0340080109364654E-8</v>
      </c>
      <c r="I48" s="101">
        <v>4.9661557096769675E-6</v>
      </c>
      <c r="J48" s="101">
        <v>9.9323114193539347E-5</v>
      </c>
      <c r="K48" s="101">
        <v>9.8597107731744551E-5</v>
      </c>
      <c r="M48" s="54">
        <v>5.3107596958624449E-3</v>
      </c>
      <c r="N48" s="54">
        <v>1.1662847035636807</v>
      </c>
      <c r="O48" s="54">
        <v>2.5986762769999393E-3</v>
      </c>
      <c r="P48" s="54">
        <v>6.0340080109364654E-6</v>
      </c>
      <c r="Q48" s="54">
        <v>2.4830778548384835E-2</v>
      </c>
      <c r="R48" s="54">
        <v>0.6573140515449637</v>
      </c>
      <c r="T48" s="101">
        <v>4.2452763209717978E-6</v>
      </c>
      <c r="U48" s="101">
        <v>4.2878158570498995E-7</v>
      </c>
      <c r="V48" s="101">
        <v>1.086121441968564E-7</v>
      </c>
      <c r="W48" s="54">
        <v>0.76402395533491796</v>
      </c>
      <c r="X48" s="101">
        <v>1.1831652927809346E-6</v>
      </c>
      <c r="Y48" s="1"/>
      <c r="Z48" s="1"/>
    </row>
    <row r="49" spans="2:26" ht="24.9" customHeight="1" x14ac:dyDescent="0.25">
      <c r="B49" s="170"/>
      <c r="C49" s="38">
        <v>500</v>
      </c>
      <c r="E49" s="102">
        <v>1.7344786214330962E-7</v>
      </c>
      <c r="F49" s="102">
        <v>5.2867955103796943E-6</v>
      </c>
      <c r="G49" s="102">
        <v>5.9429387414557773E-8</v>
      </c>
      <c r="H49" s="102">
        <v>8.6077218046996191E-9</v>
      </c>
      <c r="I49" s="102">
        <v>2.2082273511275527E-6</v>
      </c>
      <c r="J49" s="102">
        <v>4.4164547022551055E-5</v>
      </c>
      <c r="K49" s="102">
        <v>1.1974942032511538E-5</v>
      </c>
      <c r="M49" s="59">
        <v>9.04565194259077E-4</v>
      </c>
      <c r="N49" s="59">
        <v>0.37762825074140677</v>
      </c>
      <c r="O49" s="59">
        <v>1.1885877482911554E-3</v>
      </c>
      <c r="P49" s="59">
        <v>8.607721804699619E-7</v>
      </c>
      <c r="Q49" s="59">
        <v>1.1041136755637762E-2</v>
      </c>
      <c r="R49" s="59">
        <v>7.9832946883410263E-2</v>
      </c>
      <c r="T49" s="102">
        <v>1.3745668326987206E-6</v>
      </c>
      <c r="U49" s="102">
        <v>1.9611697846804064E-7</v>
      </c>
      <c r="V49" s="102">
        <v>1.5493899248459318E-8</v>
      </c>
      <c r="W49" s="59">
        <v>0.33972728478885422</v>
      </c>
      <c r="X49" s="102">
        <v>1.4369930439013846E-7</v>
      </c>
      <c r="Y49" s="1"/>
      <c r="Z49" s="1"/>
    </row>
    <row r="50" spans="2:26" ht="24.9" customHeight="1" x14ac:dyDescent="0.25">
      <c r="B50" s="43"/>
      <c r="C50" s="40" t="s">
        <v>494</v>
      </c>
      <c r="D50" s="30"/>
      <c r="E50" s="101">
        <v>8.8146228434596344E-7</v>
      </c>
      <c r="F50" s="101">
        <v>6.660880293033238E-5</v>
      </c>
      <c r="G50" s="101">
        <v>1.5022282953040006E-7</v>
      </c>
      <c r="H50" s="101">
        <v>9.5869753093851226E-8</v>
      </c>
      <c r="I50" s="101">
        <v>6.9653757692981225E-6</v>
      </c>
      <c r="J50" s="101">
        <v>1.3930751538596242E-4</v>
      </c>
      <c r="K50" s="101">
        <v>2.2908814831047183E-4</v>
      </c>
      <c r="L50" s="30"/>
      <c r="M50" s="54">
        <v>8.8146228434596331E-3</v>
      </c>
      <c r="N50" s="54">
        <v>4.7577716378808832</v>
      </c>
      <c r="O50" s="54">
        <v>3.0044565906080013E-3</v>
      </c>
      <c r="P50" s="54">
        <v>9.586975309385123E-6</v>
      </c>
      <c r="Q50" s="54">
        <v>3.4826878846490605E-2</v>
      </c>
      <c r="R50" s="54">
        <v>1.5272543220698123</v>
      </c>
      <c r="T50" s="101">
        <v>1.7318288761886421E-5</v>
      </c>
      <c r="U50" s="101">
        <v>4.9573533745032013E-7</v>
      </c>
      <c r="V50" s="101">
        <v>1.7256555556893227E-7</v>
      </c>
      <c r="W50" s="54">
        <v>1.0715962721997108</v>
      </c>
      <c r="X50" s="101">
        <v>2.7490577797256619E-6</v>
      </c>
      <c r="Y50" s="1"/>
      <c r="Z50" s="1"/>
    </row>
    <row r="51" spans="2:26" ht="24.9" customHeight="1" x14ac:dyDescent="0.25">
      <c r="B51" s="37"/>
      <c r="C51" s="42" t="s">
        <v>501</v>
      </c>
      <c r="D51" s="30"/>
      <c r="E51" s="102">
        <v>8.7452349075864922E-7</v>
      </c>
      <c r="F51" s="102">
        <v>6.1840146796579454E-5</v>
      </c>
      <c r="G51" s="102">
        <v>5.9121702944813897E-8</v>
      </c>
      <c r="H51" s="102">
        <v>6.483575685516371E-8</v>
      </c>
      <c r="I51" s="102">
        <v>3.779572064341301E-6</v>
      </c>
      <c r="J51" s="102">
        <v>7.5591441286826025E-5</v>
      </c>
      <c r="K51" s="102">
        <v>2.0318157081290267E-4</v>
      </c>
      <c r="L51" s="30"/>
      <c r="M51" s="59">
        <v>8.7452349075864914E-3</v>
      </c>
      <c r="N51" s="59">
        <v>4.4171533426128189</v>
      </c>
      <c r="O51" s="59">
        <v>1.1824340588962778E-3</v>
      </c>
      <c r="P51" s="59">
        <v>6.4835756855163706E-6</v>
      </c>
      <c r="Q51" s="59">
        <v>1.8897860321706518E-2</v>
      </c>
      <c r="R51" s="59">
        <v>1.3545438054193515</v>
      </c>
      <c r="T51" s="102">
        <v>1.6078438167110658E-5</v>
      </c>
      <c r="U51" s="102">
        <v>1.9510161971788585E-7</v>
      </c>
      <c r="V51" s="102">
        <v>1.1670436233929469E-7</v>
      </c>
      <c r="W51" s="59">
        <v>0.58147262528327737</v>
      </c>
      <c r="X51" s="102">
        <v>2.4381788497548322E-6</v>
      </c>
      <c r="Y51" s="1"/>
      <c r="Z51" s="1"/>
    </row>
    <row r="52" spans="2:26" ht="24.9" customHeight="1" x14ac:dyDescent="0.25">
      <c r="B52" s="35"/>
      <c r="C52" s="30"/>
      <c r="D52" s="30"/>
      <c r="E52" s="101"/>
      <c r="F52" s="101"/>
      <c r="G52" s="101"/>
      <c r="H52" s="101"/>
      <c r="I52" s="101"/>
      <c r="J52" s="101"/>
      <c r="K52" s="101"/>
      <c r="L52" s="30"/>
      <c r="M52" s="54"/>
      <c r="N52" s="54"/>
      <c r="O52" s="54"/>
      <c r="P52" s="54"/>
      <c r="Q52" s="54"/>
      <c r="R52" s="54"/>
      <c r="T52" s="101"/>
      <c r="U52" s="101"/>
      <c r="V52" s="101"/>
      <c r="W52" s="54"/>
      <c r="X52" s="101"/>
      <c r="Y52" s="1"/>
      <c r="Z52" s="1"/>
    </row>
    <row r="53" spans="2:26" ht="24.9" customHeight="1" x14ac:dyDescent="0.25">
      <c r="B53" s="169" t="s">
        <v>552</v>
      </c>
      <c r="C53" s="33">
        <v>100</v>
      </c>
      <c r="E53" s="101">
        <v>1.5511547476627192E-7</v>
      </c>
      <c r="F53" s="101">
        <v>4.5742807328283337E-5</v>
      </c>
      <c r="G53" s="101">
        <v>1.5953445466817809E-7</v>
      </c>
      <c r="H53" s="101">
        <v>2.5169605045277101E-7</v>
      </c>
      <c r="I53" s="101">
        <v>4.0398698250898763E-6</v>
      </c>
      <c r="J53" s="101">
        <v>8.0797396501797533E-5</v>
      </c>
      <c r="K53" s="101">
        <v>5.9071900742712399E-4</v>
      </c>
      <c r="M53" s="54">
        <v>-2.8388990792642577E-3</v>
      </c>
      <c r="N53" s="54">
        <v>3.267343380591667</v>
      </c>
      <c r="O53" s="54">
        <v>3.1906890933635617E-3</v>
      </c>
      <c r="P53" s="54">
        <v>2.51696050452771E-5</v>
      </c>
      <c r="Q53" s="54">
        <v>2.0199349125449382E-2</v>
      </c>
      <c r="R53" s="54">
        <v>3.9381267161808271</v>
      </c>
      <c r="T53" s="101">
        <v>1.1893129905353669E-5</v>
      </c>
      <c r="U53" s="101">
        <v>5.2646370040498762E-7</v>
      </c>
      <c r="V53" s="101">
        <v>4.5305289081498789E-7</v>
      </c>
      <c r="W53" s="54">
        <v>0.62151843462921175</v>
      </c>
      <c r="X53" s="101">
        <v>7.0886280891254878E-6</v>
      </c>
      <c r="Y53" s="28"/>
      <c r="Z53" s="1"/>
    </row>
    <row r="54" spans="2:26" ht="24.9" customHeight="1" x14ac:dyDescent="0.25">
      <c r="B54" s="169"/>
      <c r="C54" s="33">
        <v>200</v>
      </c>
      <c r="E54" s="101">
        <v>2.8910114227540319E-8</v>
      </c>
      <c r="F54" s="101">
        <v>1.7157138951743559E-5</v>
      </c>
      <c r="G54" s="101">
        <v>1.6191628151612073E-7</v>
      </c>
      <c r="H54" s="101">
        <v>4.7493097654037682E-7</v>
      </c>
      <c r="I54" s="101">
        <v>4.4980732476655826E-6</v>
      </c>
      <c r="J54" s="101">
        <v>8.9961464953311652E-5</v>
      </c>
      <c r="K54" s="101">
        <v>6.3813056713631371E-4</v>
      </c>
      <c r="M54" s="54">
        <v>-2.472477996853681E-3</v>
      </c>
      <c r="N54" s="54">
        <v>1.22550992512454</v>
      </c>
      <c r="O54" s="54">
        <v>3.2383256303224143E-3</v>
      </c>
      <c r="P54" s="54">
        <v>4.7493097654037682E-5</v>
      </c>
      <c r="Q54" s="54">
        <v>2.2490366238327911E-2</v>
      </c>
      <c r="R54" s="54">
        <v>4.2542037809087585</v>
      </c>
      <c r="T54" s="101">
        <v>4.4608561274533258E-6</v>
      </c>
      <c r="U54" s="101">
        <v>5.3432372900319841E-7</v>
      </c>
      <c r="V54" s="101">
        <v>8.5487575777267839E-7</v>
      </c>
      <c r="W54" s="54">
        <v>0.692011268871628</v>
      </c>
      <c r="X54" s="101">
        <v>7.6575668056357651E-6</v>
      </c>
      <c r="Y54" s="28"/>
      <c r="Z54" s="1"/>
    </row>
    <row r="55" spans="2:26" ht="24.9" customHeight="1" x14ac:dyDescent="0.25">
      <c r="B55" s="169"/>
      <c r="C55" s="33">
        <v>300</v>
      </c>
      <c r="E55" s="101">
        <v>5.7398290904984056E-7</v>
      </c>
      <c r="F55" s="101">
        <v>1.4445366874807946E-5</v>
      </c>
      <c r="G55" s="101">
        <v>1.302421823177259E-7</v>
      </c>
      <c r="H55" s="101">
        <v>2.5080403883140909E-7</v>
      </c>
      <c r="I55" s="101">
        <v>2.8480512407597606E-6</v>
      </c>
      <c r="J55" s="101">
        <v>5.6961024815195213E-5</v>
      </c>
      <c r="K55" s="101">
        <v>3.8993318284162733E-4</v>
      </c>
      <c r="M55" s="54">
        <v>3.2332929954719996E-3</v>
      </c>
      <c r="N55" s="54">
        <v>1.0318119196291391</v>
      </c>
      <c r="O55" s="54">
        <v>2.604843646354518E-3</v>
      </c>
      <c r="P55" s="54">
        <v>2.5080403883140908E-5</v>
      </c>
      <c r="Q55" s="54">
        <v>1.4240256203798802E-2</v>
      </c>
      <c r="R55" s="54">
        <v>2.5995545522775156</v>
      </c>
      <c r="T55" s="101">
        <v>3.7557953874500663E-6</v>
      </c>
      <c r="U55" s="101">
        <v>4.2979920164849548E-7</v>
      </c>
      <c r="V55" s="101">
        <v>4.5144726989653644E-7</v>
      </c>
      <c r="W55" s="54">
        <v>0.4381617293476554</v>
      </c>
      <c r="X55" s="101">
        <v>4.6791981940995281E-6</v>
      </c>
      <c r="Y55" s="1"/>
      <c r="Z55" s="1"/>
    </row>
    <row r="56" spans="2:26" ht="24.9" customHeight="1" x14ac:dyDescent="0.25">
      <c r="B56" s="169"/>
      <c r="C56" s="33">
        <v>400</v>
      </c>
      <c r="E56" s="101">
        <v>4.4854260160019196E-7</v>
      </c>
      <c r="F56" s="101">
        <v>7.2769052741236075E-6</v>
      </c>
      <c r="G56" s="101">
        <v>7.8227774169101901E-8</v>
      </c>
      <c r="H56" s="101">
        <v>1.0351580059536513E-7</v>
      </c>
      <c r="I56" s="101">
        <v>1.5402022252044221E-6</v>
      </c>
      <c r="J56" s="101">
        <v>3.0804044504088442E-5</v>
      </c>
      <c r="K56" s="101">
        <v>1.3565252256898875E-4</v>
      </c>
      <c r="M56" s="54">
        <v>3.2393772400266972E-3</v>
      </c>
      <c r="N56" s="54">
        <v>0.51977894815168624</v>
      </c>
      <c r="O56" s="54">
        <v>1.564555483382038E-3</v>
      </c>
      <c r="P56" s="54">
        <v>1.0351580059536512E-5</v>
      </c>
      <c r="Q56" s="54">
        <v>7.7010111260221101E-3</v>
      </c>
      <c r="R56" s="54">
        <v>0.90435015045992506</v>
      </c>
      <c r="T56" s="101">
        <v>1.891995371272138E-6</v>
      </c>
      <c r="U56" s="101">
        <v>2.5815165475803624E-7</v>
      </c>
      <c r="V56" s="101">
        <v>1.8632844107165725E-7</v>
      </c>
      <c r="W56" s="54">
        <v>0.23695418849298799</v>
      </c>
      <c r="X56" s="101">
        <v>1.627830270827865E-6</v>
      </c>
      <c r="Y56" s="1"/>
      <c r="Z56" s="1"/>
    </row>
    <row r="57" spans="2:26" ht="24.9" customHeight="1" x14ac:dyDescent="0.25">
      <c r="B57" s="170"/>
      <c r="C57" s="38">
        <v>500</v>
      </c>
      <c r="E57" s="102">
        <v>0</v>
      </c>
      <c r="F57" s="102">
        <v>2.8435275516313742E-6</v>
      </c>
      <c r="G57" s="102">
        <v>2.7242462047772815E-8</v>
      </c>
      <c r="H57" s="102">
        <v>3.2776020612912182E-8</v>
      </c>
      <c r="I57" s="102">
        <v>6.8786738088715155E-7</v>
      </c>
      <c r="J57" s="102">
        <v>1.3757347617743031E-5</v>
      </c>
      <c r="K57" s="102">
        <v>5.8642912023120069E-5</v>
      </c>
      <c r="M57" s="59">
        <v>-1.0754780412816117E-3</v>
      </c>
      <c r="N57" s="59">
        <v>0.20310911083081246</v>
      </c>
      <c r="O57" s="59">
        <v>5.4484924095545624E-4</v>
      </c>
      <c r="P57" s="59">
        <v>3.2776020612912183E-6</v>
      </c>
      <c r="Q57" s="59">
        <v>3.4393369044357575E-3</v>
      </c>
      <c r="R57" s="59">
        <v>0.3909527468208005</v>
      </c>
      <c r="T57" s="102">
        <v>7.3931716342415732E-7</v>
      </c>
      <c r="U57" s="102">
        <v>8.9900124757650289E-8</v>
      </c>
      <c r="V57" s="102">
        <v>5.8996837103241934E-8</v>
      </c>
      <c r="W57" s="59">
        <v>0.10582575090571561</v>
      </c>
      <c r="X57" s="102">
        <v>7.0371494427744081E-7</v>
      </c>
      <c r="Y57" s="1"/>
      <c r="Z57" s="1"/>
    </row>
    <row r="58" spans="2:26" ht="24.9" customHeight="1" x14ac:dyDescent="0.25">
      <c r="C58" s="40" t="s">
        <v>494</v>
      </c>
      <c r="D58" s="30"/>
      <c r="E58" s="101">
        <v>1.7163023619829287E-9</v>
      </c>
      <c r="F58" s="101">
        <v>1.7493149196117968E-5</v>
      </c>
      <c r="G58" s="101">
        <v>1.1143263094377988E-7</v>
      </c>
      <c r="H58" s="101">
        <v>2.2274457740656682E-7</v>
      </c>
      <c r="I58" s="101">
        <v>2.7228127839213587E-6</v>
      </c>
      <c r="J58" s="101">
        <v>5.4456255678427176E-5</v>
      </c>
      <c r="K58" s="101">
        <v>3.6261563839943477E-4</v>
      </c>
      <c r="L58" s="30"/>
      <c r="M58" s="54">
        <v>1.7163023619829171E-5</v>
      </c>
      <c r="N58" s="54">
        <v>1.2495106568655692</v>
      </c>
      <c r="O58" s="54">
        <v>2.2286526188755977E-3</v>
      </c>
      <c r="P58" s="54">
        <v>2.2274457740656682E-5</v>
      </c>
      <c r="Q58" s="54">
        <v>1.3614063919606794E-2</v>
      </c>
      <c r="R58" s="54">
        <v>2.4174375893295652</v>
      </c>
      <c r="T58" s="101">
        <v>4.5482187909906708E-6</v>
      </c>
      <c r="U58" s="101">
        <v>3.6772768211447362E-7</v>
      </c>
      <c r="V58" s="101">
        <v>4.009402393318204E-7</v>
      </c>
      <c r="W58" s="54">
        <v>0.41889427444943977</v>
      </c>
      <c r="X58" s="101">
        <v>4.3513876607932176E-6</v>
      </c>
      <c r="Y58" s="1"/>
      <c r="Z58" s="1"/>
    </row>
    <row r="59" spans="2:26" ht="24.9" customHeight="1" x14ac:dyDescent="0.25">
      <c r="B59" s="39"/>
      <c r="C59" s="42" t="s">
        <v>501</v>
      </c>
      <c r="D59" s="129"/>
      <c r="E59" s="102">
        <v>3.011454137759879E-7</v>
      </c>
      <c r="F59" s="102">
        <v>1.6781151023893804E-5</v>
      </c>
      <c r="G59" s="102">
        <v>5.789371877798462E-8</v>
      </c>
      <c r="H59" s="102">
        <v>1.6994635540754762E-7</v>
      </c>
      <c r="I59" s="102">
        <v>1.6156611774916661E-6</v>
      </c>
      <c r="J59" s="102">
        <v>3.2313223549833322E-5</v>
      </c>
      <c r="K59" s="102">
        <v>2.6105437435577249E-4</v>
      </c>
      <c r="L59" s="129"/>
      <c r="M59" s="59">
        <v>3.0114541377598788E-3</v>
      </c>
      <c r="N59" s="59">
        <v>1.1986536445638429</v>
      </c>
      <c r="O59" s="59">
        <v>1.1578743755596924E-3</v>
      </c>
      <c r="P59" s="59">
        <v>1.6994635540754762E-5</v>
      </c>
      <c r="Q59" s="59">
        <v>8.0783058874583247E-3</v>
      </c>
      <c r="R59" s="59">
        <v>1.7403624957051496</v>
      </c>
      <c r="T59" s="102">
        <v>4.3630992662123896E-6</v>
      </c>
      <c r="U59" s="102">
        <v>1.9104927196734925E-7</v>
      </c>
      <c r="V59" s="102">
        <v>3.0590343973358574E-7</v>
      </c>
      <c r="W59" s="59">
        <v>0.24856325807564084</v>
      </c>
      <c r="X59" s="102">
        <v>3.1326524922692698E-6</v>
      </c>
      <c r="Y59" s="1"/>
      <c r="Z59" s="1"/>
    </row>
    <row r="60" spans="2:26" ht="24.9" customHeight="1" x14ac:dyDescent="0.25">
      <c r="B60" s="35"/>
      <c r="C60" s="30"/>
      <c r="D60" s="30"/>
      <c r="E60" s="54"/>
      <c r="F60" s="54"/>
      <c r="G60" s="54"/>
      <c r="H60" s="54"/>
      <c r="I60" s="54"/>
      <c r="J60" s="54"/>
      <c r="K60" s="54"/>
      <c r="L60" s="30"/>
      <c r="M60" s="54"/>
      <c r="N60" s="54"/>
      <c r="O60" s="54"/>
      <c r="P60" s="54"/>
      <c r="Q60" s="54"/>
      <c r="R60" s="54"/>
      <c r="S60" s="10"/>
      <c r="T60" s="101"/>
      <c r="U60" s="101"/>
      <c r="V60" s="101"/>
      <c r="W60" s="101"/>
      <c r="X60" s="101"/>
      <c r="Y60" s="1"/>
      <c r="Z60" s="1"/>
    </row>
    <row r="61" spans="2:26" ht="24.9" customHeight="1" x14ac:dyDescent="0.25">
      <c r="B61" s="171" t="s">
        <v>516</v>
      </c>
      <c r="C61" s="33">
        <v>100</v>
      </c>
      <c r="E61" s="101">
        <v>1.308653501603733E-7</v>
      </c>
      <c r="F61" s="101">
        <v>1.1973831702422204E-6</v>
      </c>
      <c r="G61" s="101">
        <v>7.0424630623188296E-8</v>
      </c>
      <c r="H61" s="101" t="s">
        <v>1907</v>
      </c>
      <c r="I61" s="101">
        <v>1.0335376226037107E-8</v>
      </c>
      <c r="J61" s="101">
        <v>2.0670752452074214E-7</v>
      </c>
      <c r="K61" s="101">
        <v>2.1623850272554378E-7</v>
      </c>
      <c r="M61" s="54">
        <v>1.3086535016037328E-3</v>
      </c>
      <c r="N61" s="54">
        <v>8.5527369303015743E-2</v>
      </c>
      <c r="O61" s="54">
        <v>1.4084926124637658E-3</v>
      </c>
      <c r="P61" s="54">
        <v>-1.8536140280604541E-7</v>
      </c>
      <c r="Q61" s="54">
        <v>5.167688113018553E-5</v>
      </c>
      <c r="R61" s="54">
        <v>1.4415900181702921E-3</v>
      </c>
      <c r="S61" s="10"/>
      <c r="T61" s="101">
        <v>3.1131962426297734E-7</v>
      </c>
      <c r="U61" s="101">
        <v>2.3240128105652137E-7</v>
      </c>
      <c r="V61" s="101">
        <v>-3.3365052505088181E-9</v>
      </c>
      <c r="W61" s="54">
        <v>1.5900578809287854E-3</v>
      </c>
      <c r="X61" s="101">
        <v>2.5948620327065255E-9</v>
      </c>
      <c r="Y61" s="137"/>
      <c r="Z61" s="1"/>
    </row>
    <row r="62" spans="2:26" ht="24.9" customHeight="1" x14ac:dyDescent="0.25">
      <c r="B62" s="171"/>
      <c r="C62" s="33">
        <v>200</v>
      </c>
      <c r="E62" s="101">
        <v>8.4429240879590646E-7</v>
      </c>
      <c r="F62" s="101">
        <v>4.699902369639327E-6</v>
      </c>
      <c r="G62" s="101">
        <v>8.7809332091134553E-8</v>
      </c>
      <c r="H62" s="101" t="s">
        <v>1907</v>
      </c>
      <c r="I62" s="101">
        <v>2.2129467312449436E-8</v>
      </c>
      <c r="J62" s="101">
        <v>4.4258934624898873E-7</v>
      </c>
      <c r="K62" s="101">
        <v>9.2772664270856022E-8</v>
      </c>
      <c r="M62" s="54">
        <v>8.4429240879590646E-3</v>
      </c>
      <c r="N62" s="54">
        <v>0.33570731211709481</v>
      </c>
      <c r="O62" s="54">
        <v>1.756186641822691E-3</v>
      </c>
      <c r="P62" s="54">
        <v>-2.2336917767048465E-7</v>
      </c>
      <c r="Q62" s="54">
        <v>1.1064733656224717E-4</v>
      </c>
      <c r="R62" s="54">
        <v>6.1848442847237356E-4</v>
      </c>
      <c r="S62" s="10"/>
      <c r="T62" s="101">
        <v>1.2219746161062251E-6</v>
      </c>
      <c r="U62" s="101">
        <v>2.89770795900744E-7</v>
      </c>
      <c r="V62" s="101">
        <v>-4.0206451980687246E-9</v>
      </c>
      <c r="W62" s="54">
        <v>3.4045334326845283E-3</v>
      </c>
      <c r="X62" s="101">
        <v>1.1132719712502722E-9</v>
      </c>
      <c r="Y62" s="137"/>
      <c r="Z62" s="1"/>
    </row>
    <row r="63" spans="2:26" ht="24.9" customHeight="1" x14ac:dyDescent="0.25">
      <c r="B63" s="171"/>
      <c r="C63" s="33">
        <v>300</v>
      </c>
      <c r="E63" s="101">
        <v>6.4544323572238877E-6</v>
      </c>
      <c r="F63" s="101">
        <v>2.747414961438971E-5</v>
      </c>
      <c r="G63" s="101">
        <v>7.9650508719370648E-8</v>
      </c>
      <c r="H63" s="101" t="s">
        <v>1907</v>
      </c>
      <c r="I63" s="101">
        <v>2.0690073223055511E-8</v>
      </c>
      <c r="J63" s="101">
        <v>4.1380146446111021E-7</v>
      </c>
      <c r="K63" s="101">
        <v>1.1949610572989293E-7</v>
      </c>
      <c r="M63" s="54">
        <v>6.4544323572238868E-2</v>
      </c>
      <c r="N63" s="54">
        <v>1.9624392581706935</v>
      </c>
      <c r="O63" s="54">
        <v>1.5930101743874129E-3</v>
      </c>
      <c r="P63" s="54">
        <v>-1.1163906693983605E-7</v>
      </c>
      <c r="Q63" s="54">
        <v>1.0345036611527755E-4</v>
      </c>
      <c r="R63" s="54">
        <v>7.9664070486595297E-4</v>
      </c>
      <c r="S63" s="10"/>
      <c r="T63" s="101">
        <v>7.1432788997413246E-6</v>
      </c>
      <c r="U63" s="101">
        <v>2.6284667877392312E-7</v>
      </c>
      <c r="V63" s="101">
        <v>-2.0095032049170493E-9</v>
      </c>
      <c r="W63" s="54">
        <v>3.183088188162386E-3</v>
      </c>
      <c r="X63" s="101">
        <v>1.4339532687587153E-9</v>
      </c>
      <c r="Y63" s="137"/>
      <c r="Z63" s="1"/>
    </row>
    <row r="64" spans="2:26" ht="24.9" customHeight="1" x14ac:dyDescent="0.25">
      <c r="B64" s="171"/>
      <c r="C64" s="33">
        <v>400</v>
      </c>
      <c r="E64" s="101">
        <v>1.0739559483938987E-5</v>
      </c>
      <c r="F64" s="101">
        <v>4.6040986517462711E-5</v>
      </c>
      <c r="G64" s="101">
        <v>9.5135403365381417E-8</v>
      </c>
      <c r="H64" s="101" t="s">
        <v>1907</v>
      </c>
      <c r="I64" s="101">
        <v>1.4876757517010958E-8</v>
      </c>
      <c r="J64" s="101">
        <v>2.9753515034021919E-7</v>
      </c>
      <c r="K64" s="101">
        <v>1.1574475599534298E-7</v>
      </c>
      <c r="M64" s="54">
        <v>0.10739559483938986</v>
      </c>
      <c r="N64" s="54">
        <v>3.2886418941044795</v>
      </c>
      <c r="O64" s="54">
        <v>1.9027080673076281E-3</v>
      </c>
      <c r="P64" s="54">
        <v>-9.382877081765967E-8</v>
      </c>
      <c r="Q64" s="54">
        <v>7.4383787585054786E-5</v>
      </c>
      <c r="R64" s="54">
        <v>7.7163170663561997E-4</v>
      </c>
      <c r="S64" s="10"/>
      <c r="T64" s="101">
        <v>1.1970656494540305E-5</v>
      </c>
      <c r="U64" s="101">
        <v>3.1394683110575865E-7</v>
      </c>
      <c r="V64" s="101">
        <v>-1.6889178747178745E-9</v>
      </c>
      <c r="W64" s="54">
        <v>2.2887319256939933E-3</v>
      </c>
      <c r="X64" s="101">
        <v>1.3889370719441159E-9</v>
      </c>
      <c r="Y64" s="137"/>
      <c r="Z64" s="1"/>
    </row>
    <row r="65" spans="2:26" ht="24.9" customHeight="1" x14ac:dyDescent="0.25">
      <c r="B65" s="171"/>
      <c r="C65" s="33">
        <v>500</v>
      </c>
      <c r="E65" s="101">
        <v>1.2748891812828139E-5</v>
      </c>
      <c r="F65" s="101">
        <v>5.822420850895281E-5</v>
      </c>
      <c r="G65" s="101">
        <v>1.3429891090819423E-7</v>
      </c>
      <c r="H65" s="101">
        <v>5.6026188028486093E-10</v>
      </c>
      <c r="I65" s="101">
        <v>2.2829391735507796E-8</v>
      </c>
      <c r="J65" s="101">
        <v>4.5658783471015594E-7</v>
      </c>
      <c r="K65" s="101">
        <v>1.5882552630618533E-7</v>
      </c>
      <c r="M65" s="54">
        <v>0.12748891812828139</v>
      </c>
      <c r="N65" s="54">
        <v>4.1588720363537721</v>
      </c>
      <c r="O65" s="54">
        <v>2.6859782181638844E-3</v>
      </c>
      <c r="P65" s="54">
        <v>5.6026188028486091E-8</v>
      </c>
      <c r="Q65" s="54">
        <v>1.1414695867753898E-4</v>
      </c>
      <c r="R65" s="54">
        <v>1.0588368420412356E-3</v>
      </c>
      <c r="S65" s="10"/>
      <c r="T65" s="101">
        <v>1.5138294212327732E-5</v>
      </c>
      <c r="U65" s="101">
        <v>4.4318640599704092E-7</v>
      </c>
      <c r="V65" s="101">
        <v>1.0084713845127499E-9</v>
      </c>
      <c r="W65" s="54">
        <v>3.5122141131550453E-3</v>
      </c>
      <c r="X65" s="101">
        <v>1.9059063156742241E-9</v>
      </c>
      <c r="Y65" s="137"/>
      <c r="Z65" s="1"/>
    </row>
    <row r="66" spans="2:26" ht="24.9" customHeight="1" x14ac:dyDescent="0.25">
      <c r="B66" s="171"/>
      <c r="C66" s="33">
        <v>600</v>
      </c>
      <c r="E66" s="101">
        <v>2.1614907699352597E-6</v>
      </c>
      <c r="F66" s="101">
        <v>7.1770828791232819E-6</v>
      </c>
      <c r="G66" s="101">
        <v>8.0066613842799037E-8</v>
      </c>
      <c r="H66" s="101">
        <v>7.8241776784848117E-10</v>
      </c>
      <c r="I66" s="101">
        <v>1.8354244625568634E-8</v>
      </c>
      <c r="J66" s="101">
        <v>3.6708489251137268E-7</v>
      </c>
      <c r="K66" s="101">
        <v>4.6957666044161765E-8</v>
      </c>
      <c r="M66" s="54">
        <v>2.1614907699352596E-2</v>
      </c>
      <c r="N66" s="54">
        <v>0.51264877708023449</v>
      </c>
      <c r="O66" s="54">
        <v>1.6013322768559806E-3</v>
      </c>
      <c r="P66" s="54">
        <v>7.8241776784848118E-8</v>
      </c>
      <c r="Q66" s="54">
        <v>9.1771223127843173E-5</v>
      </c>
      <c r="R66" s="54">
        <v>3.1305110696107846E-4</v>
      </c>
      <c r="S66" s="10"/>
      <c r="T66" s="101">
        <v>1.8660415485720534E-6</v>
      </c>
      <c r="U66" s="101">
        <v>2.642198256812368E-7</v>
      </c>
      <c r="V66" s="101">
        <v>1.4083519821272663E-9</v>
      </c>
      <c r="W66" s="54">
        <v>2.8237299423951741E-3</v>
      </c>
      <c r="X66" s="101">
        <v>5.6349199252994117E-10</v>
      </c>
      <c r="Y66" s="137"/>
      <c r="Z66" s="1"/>
    </row>
    <row r="67" spans="2:26" ht="24.9" customHeight="1" x14ac:dyDescent="0.25">
      <c r="B67" s="171"/>
      <c r="C67" s="33">
        <v>700</v>
      </c>
      <c r="E67" s="101">
        <v>6.3770978291877778E-6</v>
      </c>
      <c r="F67" s="101">
        <v>2.922503249224575E-5</v>
      </c>
      <c r="G67" s="101">
        <v>1.1743206671110367E-7</v>
      </c>
      <c r="H67" s="101">
        <v>1.7103520458813052E-9</v>
      </c>
      <c r="I67" s="101">
        <v>2.4306335246581039E-8</v>
      </c>
      <c r="J67" s="101">
        <v>4.8612670493162081E-7</v>
      </c>
      <c r="K67" s="101">
        <v>1.12737519271189E-7</v>
      </c>
      <c r="M67" s="54">
        <v>6.3770978291877778E-2</v>
      </c>
      <c r="N67" s="54">
        <v>2.0875023208746963</v>
      </c>
      <c r="O67" s="54">
        <v>2.3486413342220735E-3</v>
      </c>
      <c r="P67" s="54">
        <v>1.7103520458813052E-7</v>
      </c>
      <c r="Q67" s="54">
        <v>1.2153167623290519E-4</v>
      </c>
      <c r="R67" s="54">
        <v>7.5158346180792676E-4</v>
      </c>
      <c r="S67" s="10"/>
      <c r="T67" s="101">
        <v>7.5985084479838948E-6</v>
      </c>
      <c r="U67" s="101">
        <v>3.8752582014664211E-7</v>
      </c>
      <c r="V67" s="101">
        <v>3.0786336825863498E-9</v>
      </c>
      <c r="W67" s="54">
        <v>3.7394361917816982E-3</v>
      </c>
      <c r="X67" s="101">
        <v>1.352850231254268E-9</v>
      </c>
      <c r="Y67" s="137"/>
      <c r="Z67" s="1"/>
    </row>
    <row r="68" spans="2:26" ht="24.9" customHeight="1" x14ac:dyDescent="0.25">
      <c r="B68" s="171"/>
      <c r="C68" s="33">
        <v>800</v>
      </c>
      <c r="E68" s="101">
        <v>1.6688522028587926E-5</v>
      </c>
      <c r="F68" s="101">
        <v>7.9228312220140402E-5</v>
      </c>
      <c r="G68" s="101">
        <v>1.0884188070665169E-7</v>
      </c>
      <c r="H68" s="101" t="s">
        <v>1907</v>
      </c>
      <c r="I68" s="101">
        <v>2.9307164425072399E-8</v>
      </c>
      <c r="J68" s="101">
        <v>5.8614328850144795E-7</v>
      </c>
      <c r="K68" s="101" t="s">
        <v>1907</v>
      </c>
      <c r="M68" s="54">
        <v>0.16688522028587924</v>
      </c>
      <c r="N68" s="54">
        <v>5.6591651585814571</v>
      </c>
      <c r="O68" s="54">
        <v>2.176837614133034E-3</v>
      </c>
      <c r="P68" s="54">
        <v>-7.4908830573322189E-9</v>
      </c>
      <c r="Q68" s="54">
        <v>1.4653582212536197E-4</v>
      </c>
      <c r="R68" s="54">
        <v>-3.6412941130910378E-4</v>
      </c>
      <c r="S68" s="10"/>
      <c r="T68" s="101">
        <v>2.0599361177236506E-5</v>
      </c>
      <c r="U68" s="101">
        <v>3.5917820633195059E-7</v>
      </c>
      <c r="V68" s="101">
        <v>-1.3483589503197995E-10</v>
      </c>
      <c r="W68" s="54">
        <v>4.5087945269342141E-3</v>
      </c>
      <c r="X68" s="101">
        <v>-6.5543294035638678E-10</v>
      </c>
      <c r="Y68" s="137"/>
      <c r="Z68" s="1"/>
    </row>
    <row r="69" spans="2:26" ht="24.9" customHeight="1" x14ac:dyDescent="0.25">
      <c r="B69" s="171"/>
      <c r="C69" s="33">
        <v>900</v>
      </c>
      <c r="E69" s="101">
        <v>1.8724553042585711E-5</v>
      </c>
      <c r="F69" s="101">
        <v>9.3004436094760217E-5</v>
      </c>
      <c r="G69" s="101">
        <v>9.9942790499563611E-8</v>
      </c>
      <c r="H69" s="101">
        <v>4.0553896902333618E-9</v>
      </c>
      <c r="I69" s="101">
        <v>3.0381329337650939E-8</v>
      </c>
      <c r="J69" s="101">
        <v>6.0762658675301875E-7</v>
      </c>
      <c r="K69" s="101" t="s">
        <v>1907</v>
      </c>
      <c r="M69" s="54">
        <v>0.18724553042585709</v>
      </c>
      <c r="N69" s="54">
        <v>6.6431740067685867</v>
      </c>
      <c r="O69" s="54">
        <v>1.9988558099912723E-3</v>
      </c>
      <c r="P69" s="54">
        <v>4.0553896902333616E-7</v>
      </c>
      <c r="Q69" s="54">
        <v>1.519066466882547E-4</v>
      </c>
      <c r="R69" s="54">
        <v>-2.8235754672071288E-5</v>
      </c>
      <c r="S69" s="10"/>
      <c r="T69" s="101">
        <v>2.4181153384637658E-5</v>
      </c>
      <c r="U69" s="101">
        <v>3.2981120864855989E-7</v>
      </c>
      <c r="V69" s="101">
        <v>7.2997014424200527E-9</v>
      </c>
      <c r="W69" s="54">
        <v>4.6740506673309127E-3</v>
      </c>
      <c r="X69" s="101">
        <v>-5.0824358409728317E-11</v>
      </c>
      <c r="Y69" s="137"/>
      <c r="Z69" s="1"/>
    </row>
    <row r="70" spans="2:26" ht="24.9" customHeight="1" x14ac:dyDescent="0.25">
      <c r="B70" s="171"/>
      <c r="C70" s="33">
        <v>1000</v>
      </c>
      <c r="E70" s="101">
        <v>3.5282445710292193E-5</v>
      </c>
      <c r="F70" s="101">
        <v>2.0591747768949079E-4</v>
      </c>
      <c r="G70" s="101">
        <v>1.213879725872251E-7</v>
      </c>
      <c r="H70" s="101">
        <v>1.6605779941799091E-9</v>
      </c>
      <c r="I70" s="101">
        <v>4.6572674800164819E-8</v>
      </c>
      <c r="J70" s="101">
        <v>9.3145349600329641E-7</v>
      </c>
      <c r="K70" s="101">
        <v>6.7487983682668934E-7</v>
      </c>
      <c r="M70" s="54">
        <v>0.35282445710292193</v>
      </c>
      <c r="N70" s="54">
        <v>14.708391263535056</v>
      </c>
      <c r="O70" s="54">
        <v>2.4277594517445019E-3</v>
      </c>
      <c r="P70" s="54">
        <v>1.6605779941799091E-7</v>
      </c>
      <c r="Q70" s="54">
        <v>2.3286337400082408E-4</v>
      </c>
      <c r="R70" s="54">
        <v>4.4991989121779289E-3</v>
      </c>
      <c r="S70" s="10"/>
      <c r="T70" s="101">
        <v>5.3538544199267607E-5</v>
      </c>
      <c r="U70" s="101">
        <v>4.005803095378428E-7</v>
      </c>
      <c r="V70" s="101">
        <v>2.9890403895238369E-9</v>
      </c>
      <c r="W70" s="54">
        <v>7.1650268923330483E-3</v>
      </c>
      <c r="X70" s="101">
        <v>8.0985580419202727E-9</v>
      </c>
      <c r="Y70" s="137"/>
      <c r="Z70" s="1"/>
    </row>
    <row r="71" spans="2:26" ht="24.9" customHeight="1" x14ac:dyDescent="0.25">
      <c r="B71" s="171"/>
      <c r="C71" s="33">
        <v>1100</v>
      </c>
      <c r="E71" s="101">
        <v>2.2385255401470382E-5</v>
      </c>
      <c r="F71" s="101">
        <v>1.2126568475803856E-4</v>
      </c>
      <c r="G71" s="101">
        <v>9.6961089459244968E-8</v>
      </c>
      <c r="H71" s="101">
        <v>3.935863918751795E-10</v>
      </c>
      <c r="I71" s="101" t="s">
        <v>1907</v>
      </c>
      <c r="J71" s="101" t="s">
        <v>1907</v>
      </c>
      <c r="K71" s="101" t="s">
        <v>1907</v>
      </c>
      <c r="M71" s="54">
        <v>0.2238525540147038</v>
      </c>
      <c r="N71" s="54">
        <v>8.6618346255741834</v>
      </c>
      <c r="O71" s="54">
        <v>1.9392217891848992E-3</v>
      </c>
      <c r="P71" s="54">
        <v>3.935863918751795E-8</v>
      </c>
      <c r="Q71" s="54">
        <v>-1.1289367674717459E-4</v>
      </c>
      <c r="R71" s="54">
        <v>-1.9946671056117623E-3</v>
      </c>
      <c r="S71" s="10"/>
      <c r="T71" s="101">
        <v>3.1529078037090024E-5</v>
      </c>
      <c r="U71" s="101">
        <v>3.1997159521550836E-7</v>
      </c>
      <c r="V71" s="101">
        <v>7.0845550537532316E-10</v>
      </c>
      <c r="W71" s="54">
        <v>-3.4736515922207563E-3</v>
      </c>
      <c r="X71" s="101">
        <v>-3.5904007901011716E-9</v>
      </c>
      <c r="Y71" s="137"/>
      <c r="Z71" s="1"/>
    </row>
    <row r="72" spans="2:26" ht="24.9" customHeight="1" x14ac:dyDescent="0.25">
      <c r="B72" s="171"/>
      <c r="C72" s="33">
        <v>1200</v>
      </c>
      <c r="E72" s="101">
        <v>4.5541121586905037E-5</v>
      </c>
      <c r="F72" s="101">
        <v>2.5099899078511215E-4</v>
      </c>
      <c r="G72" s="101">
        <v>1.1158805256630991E-7</v>
      </c>
      <c r="H72" s="101">
        <v>1.4844822861632051E-9</v>
      </c>
      <c r="I72" s="101" t="s">
        <v>1907</v>
      </c>
      <c r="J72" s="101" t="s">
        <v>1907</v>
      </c>
      <c r="K72" s="101" t="s">
        <v>1907</v>
      </c>
      <c r="M72" s="54">
        <v>0.45541121586905037</v>
      </c>
      <c r="N72" s="54">
        <v>17.928499341793724</v>
      </c>
      <c r="O72" s="54">
        <v>2.2317610513261981E-3</v>
      </c>
      <c r="P72" s="54">
        <v>1.4844822861632051E-7</v>
      </c>
      <c r="Q72" s="54">
        <v>-2.2368186353449307E-5</v>
      </c>
      <c r="R72" s="54">
        <v>-1.7648231289601845E-3</v>
      </c>
      <c r="S72" s="10"/>
      <c r="T72" s="101">
        <v>6.5259737604129162E-5</v>
      </c>
      <c r="U72" s="101">
        <v>3.6824057346882266E-7</v>
      </c>
      <c r="V72" s="101">
        <v>2.6720681150937694E-9</v>
      </c>
      <c r="W72" s="54">
        <v>-6.8825188779844031E-4</v>
      </c>
      <c r="X72" s="101">
        <v>-3.1766816321283318E-9</v>
      </c>
      <c r="Y72" s="137"/>
      <c r="Z72" s="1"/>
    </row>
    <row r="73" spans="2:26" ht="24.9" customHeight="1" x14ac:dyDescent="0.25">
      <c r="B73" s="171"/>
      <c r="C73" s="33">
        <v>1300</v>
      </c>
      <c r="E73" s="101">
        <v>5.176785390150004E-5</v>
      </c>
      <c r="F73" s="101">
        <v>3.1902157694356579E-4</v>
      </c>
      <c r="G73" s="101">
        <v>1.2182299673136422E-7</v>
      </c>
      <c r="H73" s="101">
        <v>7.8990092020191489E-10</v>
      </c>
      <c r="I73" s="101">
        <v>1.7569572204863075E-8</v>
      </c>
      <c r="J73" s="101">
        <v>3.5139144409726148E-7</v>
      </c>
      <c r="K73" s="101" t="s">
        <v>1907</v>
      </c>
      <c r="M73" s="54">
        <v>0.51767853901500038</v>
      </c>
      <c r="N73" s="54">
        <v>22.787255495968985</v>
      </c>
      <c r="O73" s="54">
        <v>2.4364599346272842E-3</v>
      </c>
      <c r="P73" s="54">
        <v>7.8990092020191489E-8</v>
      </c>
      <c r="Q73" s="54">
        <v>8.7847861024315364E-5</v>
      </c>
      <c r="R73" s="54">
        <v>-9.4017474906091833E-4</v>
      </c>
      <c r="S73" s="10"/>
      <c r="T73" s="101">
        <v>8.2945610005327107E-5</v>
      </c>
      <c r="U73" s="101">
        <v>4.0201588921350192E-7</v>
      </c>
      <c r="V73" s="101">
        <v>1.421821656363447E-9</v>
      </c>
      <c r="W73" s="54">
        <v>2.7030111084404727E-3</v>
      </c>
      <c r="X73" s="101">
        <v>-1.692314548309653E-9</v>
      </c>
      <c r="Y73" s="137"/>
      <c r="Z73" s="1"/>
    </row>
    <row r="74" spans="2:26" ht="24.9" customHeight="1" x14ac:dyDescent="0.25">
      <c r="B74" s="171"/>
      <c r="C74" s="33">
        <v>1400</v>
      </c>
      <c r="E74" s="101">
        <v>5.2176964281341743E-5</v>
      </c>
      <c r="F74" s="101">
        <v>3.2269905558249289E-4</v>
      </c>
      <c r="G74" s="101">
        <v>1.1733093953182394E-7</v>
      </c>
      <c r="H74" s="101">
        <v>8.399854421240366E-8</v>
      </c>
      <c r="I74" s="101">
        <v>2.1387665365294617E-8</v>
      </c>
      <c r="J74" s="101">
        <v>4.2775330730589232E-7</v>
      </c>
      <c r="K74" s="101" t="s">
        <v>1907</v>
      </c>
      <c r="M74" s="54">
        <v>0.52176964281341742</v>
      </c>
      <c r="N74" s="54">
        <v>23.049932541606637</v>
      </c>
      <c r="O74" s="54">
        <v>2.3466187906364786E-3</v>
      </c>
      <c r="P74" s="54">
        <v>8.3998544212403655E-6</v>
      </c>
      <c r="Q74" s="54">
        <v>1.0693832682647308E-4</v>
      </c>
      <c r="R74" s="54">
        <v>-1.182151298210591E-3</v>
      </c>
      <c r="S74" s="10"/>
      <c r="T74" s="101">
        <v>8.3901754451448155E-5</v>
      </c>
      <c r="U74" s="101">
        <v>3.8719210045501896E-7</v>
      </c>
      <c r="V74" s="101">
        <v>1.511973795823266E-7</v>
      </c>
      <c r="W74" s="54">
        <v>3.2904100561991713E-3</v>
      </c>
      <c r="X74" s="101">
        <v>-2.1278723367790638E-9</v>
      </c>
      <c r="Y74" s="137"/>
      <c r="Z74" s="1"/>
    </row>
    <row r="75" spans="2:26" ht="24.9" customHeight="1" x14ac:dyDescent="0.25">
      <c r="B75" s="172"/>
      <c r="C75" s="38">
        <v>1500</v>
      </c>
      <c r="E75" s="102">
        <v>4.0196663067076756E-5</v>
      </c>
      <c r="F75" s="102">
        <v>3.9049505580845251E-4</v>
      </c>
      <c r="G75" s="102">
        <v>8.6805394094834843E-8</v>
      </c>
      <c r="H75" s="102">
        <v>9.7802491481976509E-9</v>
      </c>
      <c r="I75" s="102">
        <v>3.1630825252037507E-8</v>
      </c>
      <c r="J75" s="102">
        <v>6.3261650504075016E-7</v>
      </c>
      <c r="K75" s="102">
        <v>8.9236498248004782E-7</v>
      </c>
      <c r="M75" s="59">
        <v>0.40196663067076754</v>
      </c>
      <c r="N75" s="59">
        <v>27.892503986318037</v>
      </c>
      <c r="O75" s="59">
        <v>1.7361078818966967E-3</v>
      </c>
      <c r="P75" s="59">
        <v>9.78024914819765E-7</v>
      </c>
      <c r="Q75" s="59">
        <v>1.5815412626018753E-4</v>
      </c>
      <c r="R75" s="59">
        <v>5.9490998832003195E-3</v>
      </c>
      <c r="S75" s="10"/>
      <c r="T75" s="102">
        <v>1.0152871451019765E-4</v>
      </c>
      <c r="U75" s="102">
        <v>2.8645780051295495E-7</v>
      </c>
      <c r="V75" s="102">
        <v>1.7604448466755776E-8</v>
      </c>
      <c r="W75" s="59">
        <v>4.8662808080057697E-3</v>
      </c>
      <c r="X75" s="102">
        <v>1.0708379789760574E-8</v>
      </c>
      <c r="Y75" s="137"/>
      <c r="Z75" s="1"/>
    </row>
    <row r="76" spans="2:26" ht="24.9" customHeight="1" x14ac:dyDescent="0.25">
      <c r="B76" s="35"/>
      <c r="C76" s="40" t="s">
        <v>494</v>
      </c>
      <c r="D76" s="40"/>
      <c r="E76" s="101">
        <v>2.1481333935455344E-5</v>
      </c>
      <c r="F76" s="101">
        <v>1.3044462236227395E-4</v>
      </c>
      <c r="G76" s="101">
        <v>1.01966572162546E-7</v>
      </c>
      <c r="H76" s="101">
        <v>6.5999246216237299E-9</v>
      </c>
      <c r="I76" s="101">
        <v>1.8887900310077938E-8</v>
      </c>
      <c r="J76" s="101">
        <v>3.7775800620155878E-7</v>
      </c>
      <c r="K76" s="101">
        <v>9.9259356165080961E-8</v>
      </c>
      <c r="L76" s="40"/>
      <c r="M76" s="54">
        <v>0.21481333935455341</v>
      </c>
      <c r="N76" s="54">
        <v>9.317473025876712</v>
      </c>
      <c r="O76" s="54">
        <v>2.03933144325092E-3</v>
      </c>
      <c r="P76" s="54">
        <v>6.5999246216237294E-7</v>
      </c>
      <c r="Q76" s="54">
        <v>9.4439501550389689E-5</v>
      </c>
      <c r="R76" s="54">
        <v>6.6172904110053964E-4</v>
      </c>
      <c r="S76" s="10"/>
      <c r="T76" s="101">
        <v>3.3915601814191224E-5</v>
      </c>
      <c r="U76" s="101">
        <v>3.3648968813640184E-7</v>
      </c>
      <c r="V76" s="101">
        <v>1.1879864318922715E-8</v>
      </c>
      <c r="W76" s="54">
        <v>2.9058308169350663E-3</v>
      </c>
      <c r="X76" s="101">
        <v>1.1911122739809715E-9</v>
      </c>
      <c r="Y76" s="137"/>
      <c r="Z76" s="1"/>
    </row>
    <row r="77" spans="2:26" ht="24.9" customHeight="1" x14ac:dyDescent="0.25">
      <c r="B77" s="41"/>
      <c r="C77" s="42" t="s">
        <v>501</v>
      </c>
      <c r="D77" s="40"/>
      <c r="E77" s="102">
        <v>1.8729396112490234E-5</v>
      </c>
      <c r="F77" s="102">
        <v>1.3239212768456065E-4</v>
      </c>
      <c r="G77" s="102">
        <v>1.8728415576851381E-8</v>
      </c>
      <c r="H77" s="102">
        <v>2.1604594148469639E-8</v>
      </c>
      <c r="I77" s="102">
        <v>1.6015370015561858E-8</v>
      </c>
      <c r="J77" s="102">
        <v>3.2030740031123715E-7</v>
      </c>
      <c r="K77" s="102">
        <v>3.2083665699379226E-7</v>
      </c>
      <c r="L77" s="40"/>
      <c r="M77" s="59">
        <v>0.18729396112490229</v>
      </c>
      <c r="N77" s="59">
        <v>9.4565805488971897</v>
      </c>
      <c r="O77" s="59">
        <v>3.7456831153702766E-4</v>
      </c>
      <c r="P77" s="59">
        <v>2.1604594148469638E-6</v>
      </c>
      <c r="Q77" s="59">
        <v>8.0076850077809303E-5</v>
      </c>
      <c r="R77" s="59">
        <v>2.1389110466252825E-3</v>
      </c>
      <c r="T77" s="102">
        <v>3.4421953197985774E-5</v>
      </c>
      <c r="U77" s="102">
        <v>6.1803771403609563E-8</v>
      </c>
      <c r="V77" s="102">
        <v>3.8888269467245357E-8</v>
      </c>
      <c r="W77" s="59">
        <v>2.4639030793172094E-3</v>
      </c>
      <c r="X77" s="102">
        <v>3.8500398839255076E-9</v>
      </c>
      <c r="Y77" s="137"/>
      <c r="Z77" s="1"/>
    </row>
    <row r="78" spans="2:26" ht="24.9" customHeight="1" x14ac:dyDescent="0.25">
      <c r="B78" s="35"/>
      <c r="C78" s="30"/>
      <c r="D78" s="30"/>
      <c r="E78" s="101"/>
      <c r="F78" s="101"/>
      <c r="G78" s="101"/>
      <c r="H78" s="101"/>
      <c r="I78" s="101"/>
      <c r="J78" s="101"/>
      <c r="K78" s="101"/>
      <c r="L78" s="30"/>
      <c r="M78" s="54"/>
      <c r="N78" s="54"/>
      <c r="O78" s="54"/>
      <c r="P78" s="54"/>
      <c r="Q78" s="54"/>
      <c r="R78" s="54"/>
      <c r="S78" s="10"/>
      <c r="T78" s="101"/>
      <c r="U78" s="101"/>
      <c r="V78" s="101"/>
      <c r="W78" s="54"/>
      <c r="X78" s="101"/>
      <c r="Y78" s="137"/>
      <c r="Z78" s="1"/>
    </row>
    <row r="79" spans="2:26" ht="24.9" customHeight="1" x14ac:dyDescent="0.25">
      <c r="B79" s="171" t="s">
        <v>1020</v>
      </c>
      <c r="C79" s="33">
        <v>100</v>
      </c>
      <c r="E79" s="101">
        <v>5.9736398166722514E-6</v>
      </c>
      <c r="F79" s="101">
        <v>4.7292817631580502E-6</v>
      </c>
      <c r="G79" s="101">
        <v>1.8475259766927383E-7</v>
      </c>
      <c r="H79" s="101" t="s">
        <v>1907</v>
      </c>
      <c r="I79" s="101">
        <v>6.3720133283274787E-8</v>
      </c>
      <c r="J79" s="101">
        <v>1.2744026656654958E-6</v>
      </c>
      <c r="K79" s="101">
        <v>7.270738429211626E-7</v>
      </c>
      <c r="M79" s="54">
        <v>5.9736398166722514E-2</v>
      </c>
      <c r="N79" s="54">
        <v>0.33780584022557503</v>
      </c>
      <c r="O79" s="54">
        <v>3.6950519533854764E-3</v>
      </c>
      <c r="P79" s="54">
        <v>-6.4262503384301768E-8</v>
      </c>
      <c r="Q79" s="54">
        <v>3.186006664163739E-4</v>
      </c>
      <c r="R79" s="54">
        <v>4.8471589528077509E-3</v>
      </c>
      <c r="S79" s="10"/>
      <c r="T79" s="101">
        <v>1.2296132584210932E-6</v>
      </c>
      <c r="U79" s="101">
        <v>6.0968357230860362E-7</v>
      </c>
      <c r="V79" s="101">
        <v>-1.1567250609174321E-9</v>
      </c>
      <c r="W79" s="54">
        <v>9.8030974281961211E-3</v>
      </c>
      <c r="X79" s="101">
        <v>8.7248861150539514E-9</v>
      </c>
      <c r="Y79" s="137"/>
      <c r="Z79" s="1"/>
    </row>
    <row r="80" spans="2:26" ht="24.9" customHeight="1" x14ac:dyDescent="0.25">
      <c r="B80" s="171"/>
      <c r="C80" s="33">
        <v>200</v>
      </c>
      <c r="E80" s="101">
        <v>1.3234168868584862E-5</v>
      </c>
      <c r="F80" s="101">
        <v>1.0096309953171784E-5</v>
      </c>
      <c r="G80" s="101">
        <v>1.991355634207422E-7</v>
      </c>
      <c r="H80" s="101">
        <v>5.88597671541704E-8</v>
      </c>
      <c r="I80" s="101">
        <v>1.3012764695344138E-7</v>
      </c>
      <c r="J80" s="101">
        <v>2.6025529390688277E-6</v>
      </c>
      <c r="K80" s="101">
        <v>4.2319573949696652E-6</v>
      </c>
      <c r="M80" s="54">
        <v>0.13234168868584861</v>
      </c>
      <c r="N80" s="54">
        <v>0.72116499665512745</v>
      </c>
      <c r="O80" s="54">
        <v>3.9827112684148441E-3</v>
      </c>
      <c r="P80" s="54">
        <v>5.8859767154170396E-6</v>
      </c>
      <c r="Q80" s="54">
        <v>6.5063823476720691E-4</v>
      </c>
      <c r="R80" s="54">
        <v>2.821304929979777E-2</v>
      </c>
      <c r="S80" s="10"/>
      <c r="T80" s="101">
        <v>2.6250405878246639E-6</v>
      </c>
      <c r="U80" s="101">
        <v>6.5714735928844922E-7</v>
      </c>
      <c r="V80" s="101">
        <v>1.0594758087750673E-7</v>
      </c>
      <c r="W80" s="54">
        <v>2.0019637992837135E-2</v>
      </c>
      <c r="X80" s="101">
        <v>5.0783488739635981E-8</v>
      </c>
      <c r="Y80" s="137"/>
      <c r="Z80" s="1"/>
    </row>
    <row r="81" spans="2:26" ht="24.9" customHeight="1" x14ac:dyDescent="0.25">
      <c r="B81" s="171"/>
      <c r="C81" s="33">
        <v>300</v>
      </c>
      <c r="E81" s="101">
        <v>1.5423227642760295E-5</v>
      </c>
      <c r="F81" s="101">
        <v>1.3104819161483686E-5</v>
      </c>
      <c r="G81" s="101">
        <v>2.1141481778388142E-7</v>
      </c>
      <c r="H81" s="101" t="s">
        <v>1907</v>
      </c>
      <c r="I81" s="101">
        <v>8.5814115495555326E-8</v>
      </c>
      <c r="J81" s="101">
        <v>1.7162823099111064E-6</v>
      </c>
      <c r="K81" s="101">
        <v>4.5790809068532505E-7</v>
      </c>
      <c r="M81" s="54">
        <v>0.15423227642760295</v>
      </c>
      <c r="N81" s="54">
        <v>0.936058511534549</v>
      </c>
      <c r="O81" s="54">
        <v>4.2282963556776283E-3</v>
      </c>
      <c r="P81" s="54">
        <v>-1.1845846307313722E-7</v>
      </c>
      <c r="Q81" s="54">
        <v>4.2907057747777663E-4</v>
      </c>
      <c r="R81" s="54">
        <v>3.0527206045688339E-3</v>
      </c>
      <c r="S81" s="10"/>
      <c r="T81" s="101">
        <v>3.4072529819857587E-6</v>
      </c>
      <c r="U81" s="101">
        <v>6.9766889868680867E-7</v>
      </c>
      <c r="V81" s="101">
        <v>-2.1322523353164703E-9</v>
      </c>
      <c r="W81" s="54">
        <v>1.3202171614700817E-2</v>
      </c>
      <c r="X81" s="101">
        <v>5.4948970882239003E-9</v>
      </c>
      <c r="Y81" s="137"/>
      <c r="Z81" s="1"/>
    </row>
    <row r="82" spans="2:26" ht="24.9" customHeight="1" x14ac:dyDescent="0.25">
      <c r="B82" s="171"/>
      <c r="C82" s="33">
        <v>400</v>
      </c>
      <c r="E82" s="101">
        <v>6.7981309007377717E-6</v>
      </c>
      <c r="F82" s="101">
        <v>6.3698093815472786E-6</v>
      </c>
      <c r="G82" s="101">
        <v>1.9224424824101249E-7</v>
      </c>
      <c r="H82" s="101">
        <v>2.1205050121209561E-9</v>
      </c>
      <c r="I82" s="101">
        <v>5.898191918474569E-8</v>
      </c>
      <c r="J82" s="101">
        <v>1.1796383836949138E-6</v>
      </c>
      <c r="K82" s="101" t="s">
        <v>1907</v>
      </c>
      <c r="M82" s="54">
        <v>6.7981309007377713E-2</v>
      </c>
      <c r="N82" s="54">
        <v>0.45498638439623418</v>
      </c>
      <c r="O82" s="54">
        <v>3.8448849648202495E-3</v>
      </c>
      <c r="P82" s="54">
        <v>2.1205050121209561E-7</v>
      </c>
      <c r="Q82" s="54">
        <v>2.9490959592372843E-4</v>
      </c>
      <c r="R82" s="54">
        <v>-2.5561155240617279E-3</v>
      </c>
      <c r="S82" s="10"/>
      <c r="T82" s="101">
        <v>1.6561504392022925E-6</v>
      </c>
      <c r="U82" s="101">
        <v>6.3440601919534119E-7</v>
      </c>
      <c r="V82" s="101">
        <v>3.8169090218177211E-9</v>
      </c>
      <c r="W82" s="54">
        <v>9.0741414130377975E-3</v>
      </c>
      <c r="X82" s="101">
        <v>-4.60100794331111E-9</v>
      </c>
      <c r="Y82" s="137"/>
      <c r="Z82" s="1"/>
    </row>
    <row r="83" spans="2:26" ht="24.9" customHeight="1" x14ac:dyDescent="0.25">
      <c r="B83" s="171"/>
      <c r="C83" s="33">
        <v>500</v>
      </c>
      <c r="E83" s="101">
        <v>1.0704838007159356E-5</v>
      </c>
      <c r="F83" s="101">
        <v>5.389329954159666E-6</v>
      </c>
      <c r="G83" s="101">
        <v>2.1002385745018847E-7</v>
      </c>
      <c r="H83" s="101">
        <v>1.1586859495722138E-9</v>
      </c>
      <c r="I83" s="101">
        <v>8.7496005580920801E-8</v>
      </c>
      <c r="J83" s="101">
        <v>1.749920111618416E-6</v>
      </c>
      <c r="K83" s="101" t="s">
        <v>1907</v>
      </c>
      <c r="M83" s="54">
        <v>0.10704838007159356</v>
      </c>
      <c r="N83" s="54">
        <v>0.38495213958283331</v>
      </c>
      <c r="O83" s="54">
        <v>4.2004771490037696E-3</v>
      </c>
      <c r="P83" s="54">
        <v>1.1586859495722139E-7</v>
      </c>
      <c r="Q83" s="54">
        <v>4.3748002790460399E-4</v>
      </c>
      <c r="R83" s="54">
        <v>-1.266344031332122E-3</v>
      </c>
      <c r="S83" s="10"/>
      <c r="T83" s="101">
        <v>1.4012257880815131E-6</v>
      </c>
      <c r="U83" s="101">
        <v>6.9307872958562186E-7</v>
      </c>
      <c r="V83" s="101">
        <v>2.0856347092299851E-9</v>
      </c>
      <c r="W83" s="54">
        <v>1.3460923935526276E-2</v>
      </c>
      <c r="X83" s="101">
        <v>-2.2794192563978195E-9</v>
      </c>
      <c r="Y83" s="137"/>
      <c r="Z83" s="1"/>
    </row>
    <row r="84" spans="2:26" ht="24.9" customHeight="1" x14ac:dyDescent="0.25">
      <c r="B84" s="171"/>
      <c r="C84" s="33">
        <v>600</v>
      </c>
      <c r="E84" s="101">
        <v>3.1763059306844188E-6</v>
      </c>
      <c r="F84" s="101">
        <v>1.8569603590773985E-6</v>
      </c>
      <c r="G84" s="101">
        <v>1.3515943376513456E-7</v>
      </c>
      <c r="H84" s="101">
        <v>1.6731619030252022E-9</v>
      </c>
      <c r="I84" s="101">
        <v>6.263321747926344E-8</v>
      </c>
      <c r="J84" s="101">
        <v>1.2526643495852689E-6</v>
      </c>
      <c r="K84" s="101">
        <v>9.3038704043811352E-7</v>
      </c>
      <c r="M84" s="54">
        <v>3.1763059306844185E-2</v>
      </c>
      <c r="N84" s="54">
        <v>0.13264002564838562</v>
      </c>
      <c r="O84" s="54">
        <v>2.703188675302691E-3</v>
      </c>
      <c r="P84" s="54">
        <v>1.6731619030252021E-7</v>
      </c>
      <c r="Q84" s="54">
        <v>3.1316608739631721E-4</v>
      </c>
      <c r="R84" s="54">
        <v>6.2025802695874236E-3</v>
      </c>
      <c r="S84" s="10"/>
      <c r="T84" s="101">
        <v>4.8280969336012365E-7</v>
      </c>
      <c r="U84" s="101">
        <v>4.4602613142494401E-7</v>
      </c>
      <c r="V84" s="101">
        <v>3.0116914254453644E-9</v>
      </c>
      <c r="W84" s="54">
        <v>9.635879612194375E-3</v>
      </c>
      <c r="X84" s="101">
        <v>1.1164644485257362E-8</v>
      </c>
      <c r="Y84" s="137"/>
      <c r="Z84" s="1"/>
    </row>
    <row r="85" spans="2:26" ht="24.9" customHeight="1" x14ac:dyDescent="0.25">
      <c r="B85" s="171"/>
      <c r="C85" s="33">
        <v>700</v>
      </c>
      <c r="E85" s="101">
        <v>8.4621163839701319E-6</v>
      </c>
      <c r="F85" s="101">
        <v>5.6539160032709793E-6</v>
      </c>
      <c r="G85" s="101">
        <v>1.5955254209029062E-7</v>
      </c>
      <c r="H85" s="101">
        <v>2.0581750901744783E-9</v>
      </c>
      <c r="I85" s="101">
        <v>6.2676337934901885E-8</v>
      </c>
      <c r="J85" s="101">
        <v>1.2535267586980378E-6</v>
      </c>
      <c r="K85" s="101">
        <v>5.7715935757161882E-7</v>
      </c>
      <c r="M85" s="54">
        <v>8.4621163839701322E-2</v>
      </c>
      <c r="N85" s="54">
        <v>0.40385114309078424</v>
      </c>
      <c r="O85" s="54">
        <v>3.1910508418058121E-3</v>
      </c>
      <c r="P85" s="54">
        <v>2.0581750901744784E-7</v>
      </c>
      <c r="Q85" s="54">
        <v>3.133816896745094E-4</v>
      </c>
      <c r="R85" s="54">
        <v>3.8477290504774593E-3</v>
      </c>
      <c r="S85" s="10"/>
      <c r="T85" s="101">
        <v>1.4700181608504547E-6</v>
      </c>
      <c r="U85" s="101">
        <v>5.2652338889795899E-7</v>
      </c>
      <c r="V85" s="101">
        <v>3.7047151623140617E-9</v>
      </c>
      <c r="W85" s="54">
        <v>9.642513528446443E-3</v>
      </c>
      <c r="X85" s="101">
        <v>6.9259122908594264E-9</v>
      </c>
      <c r="Y85" s="137"/>
      <c r="Z85" s="1"/>
    </row>
    <row r="86" spans="2:26" ht="24.9" customHeight="1" x14ac:dyDescent="0.25">
      <c r="B86" s="171"/>
      <c r="C86" s="33">
        <v>800</v>
      </c>
      <c r="E86" s="101">
        <v>1.5857445859626557E-5</v>
      </c>
      <c r="F86" s="101">
        <v>2.1373284109830372E-5</v>
      </c>
      <c r="G86" s="101">
        <v>1.9933258693669055E-7</v>
      </c>
      <c r="H86" s="101">
        <v>1.4192537045488754E-8</v>
      </c>
      <c r="I86" s="101">
        <v>8.4753937467777732E-8</v>
      </c>
      <c r="J86" s="101">
        <v>1.6950787493555548E-6</v>
      </c>
      <c r="K86" s="101">
        <v>2.4397264765585422E-7</v>
      </c>
      <c r="M86" s="54">
        <v>0.15857445859626557</v>
      </c>
      <c r="N86" s="54">
        <v>1.5266631507021695</v>
      </c>
      <c r="O86" s="54">
        <v>3.986651738733811E-3</v>
      </c>
      <c r="P86" s="54">
        <v>1.4192537045488753E-6</v>
      </c>
      <c r="Q86" s="54">
        <v>4.2376968733888866E-4</v>
      </c>
      <c r="R86" s="54">
        <v>1.626484317705695E-3</v>
      </c>
      <c r="S86" s="10"/>
      <c r="T86" s="101">
        <v>5.5570538685558972E-6</v>
      </c>
      <c r="U86" s="101">
        <v>6.577975368910788E-7</v>
      </c>
      <c r="V86" s="101">
        <v>2.5546566681879761E-8</v>
      </c>
      <c r="W86" s="54">
        <v>1.3039067302735035E-2</v>
      </c>
      <c r="X86" s="101">
        <v>2.9276717718702507E-9</v>
      </c>
      <c r="Y86" s="137"/>
      <c r="Z86" s="1"/>
    </row>
    <row r="87" spans="2:26" ht="24.9" customHeight="1" x14ac:dyDescent="0.25">
      <c r="B87" s="171"/>
      <c r="C87" s="33">
        <v>900</v>
      </c>
      <c r="E87" s="101">
        <v>1.0738811740439197E-5</v>
      </c>
      <c r="F87" s="101">
        <v>1.4262308694105542E-5</v>
      </c>
      <c r="G87" s="101">
        <v>2.0725724166060183E-7</v>
      </c>
      <c r="H87" s="101" t="s">
        <v>1907</v>
      </c>
      <c r="I87" s="101">
        <v>7.7316264492381014E-8</v>
      </c>
      <c r="J87" s="101">
        <v>1.5463252898476202E-6</v>
      </c>
      <c r="K87" s="101">
        <v>1.4328081736946359E-7</v>
      </c>
      <c r="M87" s="54">
        <v>0.10738811740439197</v>
      </c>
      <c r="N87" s="54">
        <v>1.018736335293253</v>
      </c>
      <c r="O87" s="54">
        <v>4.1451448332120366E-3</v>
      </c>
      <c r="P87" s="54">
        <v>-3.13613830645854E-9</v>
      </c>
      <c r="Q87" s="54">
        <v>3.8658132246190504E-4</v>
      </c>
      <c r="R87" s="54">
        <v>9.5520544912975735E-4</v>
      </c>
      <c r="S87" s="10"/>
      <c r="T87" s="101">
        <v>3.7082002604674411E-6</v>
      </c>
      <c r="U87" s="101">
        <v>6.8394889747998599E-7</v>
      </c>
      <c r="V87" s="101">
        <v>-5.6450489516253728E-11</v>
      </c>
      <c r="W87" s="54">
        <v>1.1894809921904769E-2</v>
      </c>
      <c r="X87" s="101">
        <v>1.7193698084335631E-9</v>
      </c>
      <c r="Y87" s="137"/>
      <c r="Z87" s="1"/>
    </row>
    <row r="88" spans="2:26" ht="24.9" customHeight="1" x14ac:dyDescent="0.25">
      <c r="B88" s="171"/>
      <c r="C88" s="33">
        <v>1000</v>
      </c>
      <c r="E88" s="101">
        <v>3.5695667694957405E-5</v>
      </c>
      <c r="F88" s="101">
        <v>4.9843650597576074E-5</v>
      </c>
      <c r="G88" s="101">
        <v>2.8413307138409054E-7</v>
      </c>
      <c r="H88" s="101">
        <v>8.0200090459483106E-11</v>
      </c>
      <c r="I88" s="101">
        <v>1.8473700010206807E-7</v>
      </c>
      <c r="J88" s="101">
        <v>3.6947400020413615E-6</v>
      </c>
      <c r="K88" s="101">
        <v>8.5639373254450083E-7</v>
      </c>
      <c r="M88" s="54">
        <v>0.35695667694957406</v>
      </c>
      <c r="N88" s="54">
        <v>3.5602607569697198</v>
      </c>
      <c r="O88" s="54">
        <v>5.6826614276818104E-3</v>
      </c>
      <c r="P88" s="54">
        <v>8.020009045948311E-9</v>
      </c>
      <c r="Q88" s="54">
        <v>9.236850005103403E-4</v>
      </c>
      <c r="R88" s="54">
        <v>5.7092915502966728E-3</v>
      </c>
      <c r="S88" s="10"/>
      <c r="T88" s="101">
        <v>1.295934915536978E-5</v>
      </c>
      <c r="U88" s="101">
        <v>9.3763913556749874E-7</v>
      </c>
      <c r="V88" s="101">
        <v>1.4436016282706962E-10</v>
      </c>
      <c r="W88" s="54">
        <v>2.84210769387797E-2</v>
      </c>
      <c r="X88" s="101">
        <v>1.027672479053401E-8</v>
      </c>
      <c r="Y88" s="137"/>
      <c r="Z88" s="1"/>
    </row>
    <row r="89" spans="2:26" ht="24.9" customHeight="1" x14ac:dyDescent="0.25">
      <c r="B89" s="171"/>
      <c r="C89" s="33">
        <v>1100</v>
      </c>
      <c r="E89" s="101">
        <v>7.1468803943080999E-5</v>
      </c>
      <c r="F89" s="101">
        <v>1.0971095268837791E-4</v>
      </c>
      <c r="G89" s="101">
        <v>2.8957283617673214E-7</v>
      </c>
      <c r="H89" s="101">
        <v>1.7533832761137207E-9</v>
      </c>
      <c r="I89" s="101">
        <v>1.8903205848208154E-7</v>
      </c>
      <c r="J89" s="101">
        <v>3.7806411696416309E-6</v>
      </c>
      <c r="K89" s="101">
        <v>4.4056903538857634E-7</v>
      </c>
      <c r="M89" s="54">
        <v>0.71468803943080994</v>
      </c>
      <c r="N89" s="54">
        <v>7.8364966205984228</v>
      </c>
      <c r="O89" s="54">
        <v>5.7914567235346423E-3</v>
      </c>
      <c r="P89" s="54">
        <v>1.7533832761137208E-7</v>
      </c>
      <c r="Q89" s="54">
        <v>9.4516029241040764E-4</v>
      </c>
      <c r="R89" s="54">
        <v>2.9371269025905093E-3</v>
      </c>
      <c r="S89" s="10"/>
      <c r="T89" s="101">
        <v>2.852484769897826E-5</v>
      </c>
      <c r="U89" s="101">
        <v>9.55590359383216E-7</v>
      </c>
      <c r="V89" s="101">
        <v>3.1560898970046979E-9</v>
      </c>
      <c r="W89" s="54">
        <v>2.9081855151089464E-2</v>
      </c>
      <c r="X89" s="101">
        <v>5.2868284246629164E-9</v>
      </c>
      <c r="Y89" s="137"/>
      <c r="Z89" s="1"/>
    </row>
    <row r="90" spans="2:26" ht="24.9" customHeight="1" x14ac:dyDescent="0.25">
      <c r="B90" s="171"/>
      <c r="C90" s="33">
        <v>1200</v>
      </c>
      <c r="E90" s="101">
        <v>1.6571388701758008E-4</v>
      </c>
      <c r="F90" s="101">
        <v>4.087826796153043E-4</v>
      </c>
      <c r="G90" s="101">
        <v>4.0354511229486889E-7</v>
      </c>
      <c r="H90" s="101">
        <v>8.7441038600024421E-10</v>
      </c>
      <c r="I90" s="101">
        <v>3.4867521560046523E-7</v>
      </c>
      <c r="J90" s="101">
        <v>6.9735043120093044E-6</v>
      </c>
      <c r="K90" s="101">
        <v>4.9696578751457553E-7</v>
      </c>
      <c r="M90" s="54">
        <v>1.6571388701758007</v>
      </c>
      <c r="N90" s="54">
        <v>29.198762829664595</v>
      </c>
      <c r="O90" s="54">
        <v>8.0709022458973767E-3</v>
      </c>
      <c r="P90" s="54">
        <v>8.7441038600024416E-8</v>
      </c>
      <c r="Q90" s="54">
        <v>1.743376078002326E-3</v>
      </c>
      <c r="R90" s="54">
        <v>3.3131052500971706E-3</v>
      </c>
      <c r="S90" s="10"/>
      <c r="T90" s="101">
        <v>1.0628349669997912E-4</v>
      </c>
      <c r="U90" s="101">
        <v>1.3316988705730672E-6</v>
      </c>
      <c r="V90" s="101">
        <v>1.5739386948004399E-9</v>
      </c>
      <c r="W90" s="54">
        <v>5.364234086161003E-2</v>
      </c>
      <c r="X90" s="101">
        <v>5.9635894501749068E-9</v>
      </c>
      <c r="Y90" s="137"/>
      <c r="Z90" s="1"/>
    </row>
    <row r="91" spans="2:26" ht="24.9" customHeight="1" x14ac:dyDescent="0.25">
      <c r="B91" s="172"/>
      <c r="C91" s="38">
        <v>1300</v>
      </c>
      <c r="E91" s="102">
        <v>3.501166651305063E-5</v>
      </c>
      <c r="F91" s="102">
        <v>2.0401999261481456E-4</v>
      </c>
      <c r="G91" s="102">
        <v>1.930777412503275E-7</v>
      </c>
      <c r="H91" s="102">
        <v>1.1172712067778937E-9</v>
      </c>
      <c r="I91" s="102">
        <v>1.8254903014026202E-7</v>
      </c>
      <c r="J91" s="102">
        <v>3.6509806028052403E-6</v>
      </c>
      <c r="K91" s="102">
        <v>4.8035341756152439E-7</v>
      </c>
      <c r="M91" s="59">
        <v>0.35011666513050627</v>
      </c>
      <c r="N91" s="59">
        <v>14.572856615343898</v>
      </c>
      <c r="O91" s="59">
        <v>3.8615548250065497E-3</v>
      </c>
      <c r="P91" s="59">
        <v>1.1172712067778938E-7</v>
      </c>
      <c r="Q91" s="59">
        <v>9.1274515070131001E-4</v>
      </c>
      <c r="R91" s="59">
        <v>3.2023561170768295E-3</v>
      </c>
      <c r="S91" s="10"/>
      <c r="T91" s="102">
        <v>5.3045198079851788E-5</v>
      </c>
      <c r="U91" s="102">
        <v>6.3715654612608068E-7</v>
      </c>
      <c r="V91" s="102">
        <v>2.0110881722002089E-9</v>
      </c>
      <c r="W91" s="59">
        <v>2.8084466175424923E-2</v>
      </c>
      <c r="X91" s="102">
        <v>5.7642410107382927E-9</v>
      </c>
      <c r="Y91" s="137"/>
      <c r="Z91" s="1"/>
    </row>
    <row r="92" spans="2:26" ht="24.9" customHeight="1" x14ac:dyDescent="0.25">
      <c r="B92" s="43"/>
      <c r="C92" s="40" t="s">
        <v>494</v>
      </c>
      <c r="D92" s="40"/>
      <c r="E92" s="101">
        <v>3.0635285409177229E-5</v>
      </c>
      <c r="F92" s="101">
        <v>6.578409960737521E-5</v>
      </c>
      <c r="G92" s="101">
        <v>2.2070781924029499E-7</v>
      </c>
      <c r="H92" s="101">
        <v>6.3099635435587999E-9</v>
      </c>
      <c r="I92" s="101">
        <v>1.2450099093824146E-7</v>
      </c>
      <c r="J92" s="101">
        <v>2.4900198187648292E-6</v>
      </c>
      <c r="K92" s="101">
        <v>6.9328094087010019E-7</v>
      </c>
      <c r="L92" s="40"/>
      <c r="M92" s="54">
        <v>0.30635285409177226</v>
      </c>
      <c r="N92" s="54">
        <v>4.6988642576696567</v>
      </c>
      <c r="O92" s="54">
        <v>4.4141563848058996E-3</v>
      </c>
      <c r="P92" s="54">
        <v>6.309963543558796E-7</v>
      </c>
      <c r="Q92" s="54">
        <v>6.2250495469120734E-4</v>
      </c>
      <c r="R92" s="54">
        <v>4.6218729391340006E-3</v>
      </c>
      <c r="S92" s="10"/>
      <c r="T92" s="101">
        <v>1.7103865897917555E-5</v>
      </c>
      <c r="U92" s="101">
        <v>7.2833580349297343E-7</v>
      </c>
      <c r="V92" s="101">
        <v>1.1357934378405838E-8</v>
      </c>
      <c r="W92" s="54">
        <v>1.9153998605883297E-2</v>
      </c>
      <c r="X92" s="101">
        <v>8.3193712904412042E-9</v>
      </c>
      <c r="Y92" s="137"/>
      <c r="Z92" s="1"/>
    </row>
    <row r="93" spans="2:26" ht="24.9" customHeight="1" x14ac:dyDescent="0.25">
      <c r="B93" s="41"/>
      <c r="C93" s="42" t="s">
        <v>501</v>
      </c>
      <c r="D93" s="40"/>
      <c r="E93" s="102">
        <v>4.4652453463752339E-5</v>
      </c>
      <c r="F93" s="102">
        <v>1.1833973033017351E-4</v>
      </c>
      <c r="G93" s="102">
        <v>6.9175612785729711E-8</v>
      </c>
      <c r="H93" s="102">
        <v>1.6248288353461648E-8</v>
      </c>
      <c r="I93" s="102">
        <v>8.3544994398722035E-8</v>
      </c>
      <c r="J93" s="102">
        <v>1.6708998879744408E-6</v>
      </c>
      <c r="K93" s="102">
        <v>1.1279251135398551E-6</v>
      </c>
      <c r="L93" s="40"/>
      <c r="M93" s="59">
        <v>0.44652453463752334</v>
      </c>
      <c r="N93" s="59">
        <v>8.4528378807266797</v>
      </c>
      <c r="O93" s="59">
        <v>1.3835122557145938E-3</v>
      </c>
      <c r="P93" s="59">
        <v>1.6248288353461643E-6</v>
      </c>
      <c r="Q93" s="59">
        <v>4.1772497199361013E-4</v>
      </c>
      <c r="R93" s="59">
        <v>7.5195007569323676E-3</v>
      </c>
      <c r="S93" s="10"/>
      <c r="T93" s="102">
        <v>3.0768329885845116E-5</v>
      </c>
      <c r="U93" s="102">
        <v>2.2827952219290801E-7</v>
      </c>
      <c r="V93" s="102">
        <v>2.9246919036230965E-8</v>
      </c>
      <c r="W93" s="59">
        <v>1.2853076061341855E-2</v>
      </c>
      <c r="X93" s="102">
        <v>1.353510136247826E-8</v>
      </c>
      <c r="Y93" s="137"/>
      <c r="Z93" s="1"/>
    </row>
    <row r="94" spans="2:26" ht="24.9" customHeight="1" x14ac:dyDescent="0.25">
      <c r="B94" s="43"/>
      <c r="E94" s="101"/>
      <c r="F94" s="101"/>
      <c r="G94" s="101"/>
      <c r="H94" s="101"/>
      <c r="I94" s="101"/>
      <c r="J94" s="101"/>
      <c r="K94" s="101"/>
      <c r="M94" s="54"/>
      <c r="N94" s="54"/>
      <c r="O94" s="54"/>
      <c r="P94" s="54"/>
      <c r="Q94" s="54"/>
      <c r="R94" s="54"/>
      <c r="S94" s="10"/>
      <c r="T94" s="36"/>
      <c r="U94" s="36"/>
      <c r="V94" s="36"/>
      <c r="W94" s="113"/>
      <c r="X94" s="36"/>
      <c r="Y94" s="137"/>
      <c r="Z94" s="1"/>
    </row>
    <row r="95" spans="2:26" ht="24.9" customHeight="1" x14ac:dyDescent="0.25">
      <c r="B95" s="171" t="s">
        <v>412</v>
      </c>
      <c r="C95" s="33">
        <v>100</v>
      </c>
      <c r="E95" s="101">
        <v>7.5117621339749425E-7</v>
      </c>
      <c r="F95" s="101">
        <v>1.7986488567634475E-6</v>
      </c>
      <c r="G95" s="101">
        <v>3.5490098512277367E-8</v>
      </c>
      <c r="H95" s="101">
        <v>8.4587045814365521E-10</v>
      </c>
      <c r="I95" s="152">
        <v>5.0893261618194528E-6</v>
      </c>
      <c r="J95" s="152">
        <v>1.0178652323638906E-4</v>
      </c>
      <c r="K95" s="101">
        <v>7.4331724312849156E-8</v>
      </c>
      <c r="M95" s="54">
        <v>7.5117621339749422E-3</v>
      </c>
      <c r="N95" s="54">
        <v>0.12847491834024624</v>
      </c>
      <c r="O95" s="54">
        <v>7.0980197024554735E-4</v>
      </c>
      <c r="P95" s="54">
        <v>8.4587045814365513E-8</v>
      </c>
      <c r="Q95" s="54">
        <v>2.5446630809097263E-2</v>
      </c>
      <c r="R95" s="54">
        <v>4.9554482875232772E-4</v>
      </c>
      <c r="S95" s="10"/>
      <c r="T95" s="101">
        <v>4.6764870275849639E-7</v>
      </c>
      <c r="U95" s="101">
        <v>1.1711732509051531E-7</v>
      </c>
      <c r="V95" s="101">
        <v>1.5225668246585796E-9</v>
      </c>
      <c r="W95" s="54">
        <v>0.78297325566453113</v>
      </c>
      <c r="X95" s="101">
        <v>8.9198069175418986E-10</v>
      </c>
      <c r="Y95" s="137"/>
      <c r="Z95" s="1"/>
    </row>
    <row r="96" spans="2:26" ht="24.9" customHeight="1" x14ac:dyDescent="0.25">
      <c r="B96" s="171"/>
      <c r="C96" s="33">
        <v>200</v>
      </c>
      <c r="E96" s="101">
        <v>3.1014314434034158E-6</v>
      </c>
      <c r="F96" s="101">
        <v>5.0168178916853595E-6</v>
      </c>
      <c r="G96" s="101">
        <v>3.8237927688331572E-8</v>
      </c>
      <c r="H96" s="101">
        <v>6.0789513764454386E-10</v>
      </c>
      <c r="I96" s="152">
        <v>8.4083730953017099E-6</v>
      </c>
      <c r="J96" s="152">
        <v>1.6816746190603419E-4</v>
      </c>
      <c r="K96" s="101">
        <v>9.9626539311519042E-8</v>
      </c>
      <c r="M96" s="54">
        <v>3.1014314434034157E-2</v>
      </c>
      <c r="N96" s="54">
        <v>0.35834413512038282</v>
      </c>
      <c r="O96" s="54">
        <v>7.6475855376663144E-4</v>
      </c>
      <c r="P96" s="54">
        <v>6.0789513764454379E-8</v>
      </c>
      <c r="Q96" s="54">
        <v>4.2041865476508546E-2</v>
      </c>
      <c r="R96" s="54">
        <v>6.6417692874346033E-4</v>
      </c>
      <c r="S96" s="10"/>
      <c r="T96" s="101">
        <v>1.3043726518381935E-6</v>
      </c>
      <c r="U96" s="101">
        <v>1.2618516137149419E-7</v>
      </c>
      <c r="V96" s="101">
        <v>1.094211247760179E-9</v>
      </c>
      <c r="W96" s="54">
        <v>1.2935958608156475</v>
      </c>
      <c r="X96" s="101">
        <v>1.1955184717382285E-9</v>
      </c>
      <c r="Y96" s="137"/>
      <c r="Z96" s="1"/>
    </row>
    <row r="97" spans="2:26" ht="24.9" customHeight="1" x14ac:dyDescent="0.25">
      <c r="B97" s="171"/>
      <c r="C97" s="33">
        <v>300</v>
      </c>
      <c r="E97" s="101">
        <v>7.2832475833619485E-6</v>
      </c>
      <c r="F97" s="101">
        <v>1.0774988323213553E-5</v>
      </c>
      <c r="G97" s="101">
        <v>5.3164976967543176E-8</v>
      </c>
      <c r="H97" s="101">
        <v>2.9972348788173425E-9</v>
      </c>
      <c r="I97" s="152">
        <v>9.3943765959669136E-6</v>
      </c>
      <c r="J97" s="152">
        <v>1.8788753191933827E-4</v>
      </c>
      <c r="K97" s="101">
        <v>3.1012434790734992E-7</v>
      </c>
      <c r="M97" s="54">
        <v>7.2832475833619487E-2</v>
      </c>
      <c r="N97" s="54">
        <v>0.76964202308668228</v>
      </c>
      <c r="O97" s="54">
        <v>1.0632995393508634E-3</v>
      </c>
      <c r="P97" s="54">
        <v>2.9972348788173423E-7</v>
      </c>
      <c r="Q97" s="54">
        <v>4.6971882979834567E-2</v>
      </c>
      <c r="R97" s="54">
        <v>2.0674956527156662E-3</v>
      </c>
      <c r="S97" s="10"/>
      <c r="T97" s="101">
        <v>2.8014969640355239E-6</v>
      </c>
      <c r="U97" s="101">
        <v>1.7544442399289246E-7</v>
      </c>
      <c r="V97" s="101">
        <v>5.3950227818712172E-9</v>
      </c>
      <c r="W97" s="54">
        <v>1.4452887070718328</v>
      </c>
      <c r="X97" s="101">
        <v>3.7214921748881991E-9</v>
      </c>
      <c r="Y97" s="137"/>
      <c r="Z97" s="1"/>
    </row>
    <row r="98" spans="2:26" ht="24.9" customHeight="1" x14ac:dyDescent="0.25">
      <c r="B98" s="171"/>
      <c r="C98" s="33">
        <v>400</v>
      </c>
      <c r="E98" s="101">
        <v>7.4648884556779174E-6</v>
      </c>
      <c r="F98" s="101">
        <v>1.0382887891237975E-5</v>
      </c>
      <c r="G98" s="101">
        <v>4.2627198857379811E-8</v>
      </c>
      <c r="H98" s="101">
        <v>6.8331485926959552E-10</v>
      </c>
      <c r="I98" s="152">
        <v>8.3868043544445045E-6</v>
      </c>
      <c r="J98" s="152">
        <v>1.6773608708889009E-4</v>
      </c>
      <c r="K98" s="101">
        <v>2.6757008908933626E-7</v>
      </c>
      <c r="M98" s="54">
        <v>7.4648884556779163E-2</v>
      </c>
      <c r="N98" s="54">
        <v>0.74163484937414115</v>
      </c>
      <c r="O98" s="54">
        <v>8.5254397714759622E-4</v>
      </c>
      <c r="P98" s="54">
        <v>6.8331485926959549E-8</v>
      </c>
      <c r="Q98" s="54">
        <v>4.1934021772222517E-2</v>
      </c>
      <c r="R98" s="54">
        <v>1.7838005939289085E-3</v>
      </c>
      <c r="S98" s="10"/>
      <c r="T98" s="101">
        <v>2.6995508517218737E-6</v>
      </c>
      <c r="U98" s="101">
        <v>1.4066975622935338E-7</v>
      </c>
      <c r="V98" s="101">
        <v>1.2299667466852721E-9</v>
      </c>
      <c r="W98" s="54">
        <v>1.2902775929914621</v>
      </c>
      <c r="X98" s="101">
        <v>3.2108410690720353E-9</v>
      </c>
      <c r="Y98" s="137"/>
      <c r="Z98" s="1"/>
    </row>
    <row r="99" spans="2:26" ht="24.9" customHeight="1" x14ac:dyDescent="0.25">
      <c r="B99" s="171"/>
      <c r="C99" s="33">
        <v>500</v>
      </c>
      <c r="E99" s="101">
        <v>8.228385368937121E-6</v>
      </c>
      <c r="F99" s="101">
        <v>1.2163326161439542E-5</v>
      </c>
      <c r="G99" s="101">
        <v>4.7086926221438936E-8</v>
      </c>
      <c r="H99" s="101">
        <v>3.2879454855997379E-10</v>
      </c>
      <c r="I99" s="152">
        <v>9.2775696310916612E-6</v>
      </c>
      <c r="J99" s="152">
        <v>1.8555139262183321E-4</v>
      </c>
      <c r="K99" s="101">
        <v>2.6913137744983251E-7</v>
      </c>
      <c r="M99" s="54">
        <v>8.2283853689371203E-2</v>
      </c>
      <c r="N99" s="54">
        <v>0.86880901153139589</v>
      </c>
      <c r="O99" s="54">
        <v>9.4173852442877863E-4</v>
      </c>
      <c r="P99" s="54">
        <v>3.287945485599738E-8</v>
      </c>
      <c r="Q99" s="54">
        <v>4.6387848155458301E-2</v>
      </c>
      <c r="R99" s="54">
        <v>1.7942091829988836E-3</v>
      </c>
      <c r="S99" s="10"/>
      <c r="T99" s="101">
        <v>3.1624648019742809E-6</v>
      </c>
      <c r="U99" s="101">
        <v>1.5538685653074848E-7</v>
      </c>
      <c r="V99" s="101">
        <v>5.9183018740795297E-10</v>
      </c>
      <c r="W99" s="54">
        <v>1.4273184047833323</v>
      </c>
      <c r="X99" s="101">
        <v>3.2295765293979903E-9</v>
      </c>
      <c r="Y99" s="137"/>
      <c r="Z99" s="1"/>
    </row>
    <row r="100" spans="2:26" ht="24.9" customHeight="1" x14ac:dyDescent="0.25">
      <c r="B100" s="171"/>
      <c r="C100" s="33">
        <v>600</v>
      </c>
      <c r="E100" s="101">
        <v>3.6342738329585427E-6</v>
      </c>
      <c r="F100" s="101">
        <v>6.0936417054149296E-6</v>
      </c>
      <c r="G100" s="101">
        <v>4.6806500717206344E-8</v>
      </c>
      <c r="H100" s="101">
        <v>6.7371323448734632E-9</v>
      </c>
      <c r="I100" s="152">
        <v>1.0048628816965501E-5</v>
      </c>
      <c r="J100" s="152">
        <v>2.0097257633931002E-4</v>
      </c>
      <c r="K100" s="101">
        <v>8.5973276041504449E-7</v>
      </c>
      <c r="M100" s="54">
        <v>3.6342738329585428E-2</v>
      </c>
      <c r="N100" s="54">
        <v>0.43526012181535212</v>
      </c>
      <c r="O100" s="54">
        <v>9.3613001434412688E-4</v>
      </c>
      <c r="P100" s="54">
        <v>6.7371323448734628E-7</v>
      </c>
      <c r="Q100" s="54">
        <v>5.0243144084827503E-2</v>
      </c>
      <c r="R100" s="54">
        <v>5.7315517361002967E-3</v>
      </c>
      <c r="S100" s="10"/>
      <c r="T100" s="101">
        <v>1.5843468434078817E-6</v>
      </c>
      <c r="U100" s="101">
        <v>1.5446145236678093E-7</v>
      </c>
      <c r="V100" s="101">
        <v>1.2126838220772235E-8</v>
      </c>
      <c r="W100" s="54">
        <v>1.5459428949177692</v>
      </c>
      <c r="X100" s="101">
        <v>1.0316793124980534E-8</v>
      </c>
      <c r="Y100" s="137"/>
      <c r="Z100" s="1"/>
    </row>
    <row r="101" spans="2:26" ht="24.9" customHeight="1" x14ac:dyDescent="0.25">
      <c r="B101" s="171"/>
      <c r="C101" s="33">
        <v>700</v>
      </c>
      <c r="E101" s="101">
        <v>4.0023850524046823E-6</v>
      </c>
      <c r="F101" s="101">
        <v>6.1923886405885105E-6</v>
      </c>
      <c r="G101" s="101">
        <v>4.7560806099375867E-8</v>
      </c>
      <c r="H101" s="101">
        <v>6.0659653981920223E-9</v>
      </c>
      <c r="I101" s="152">
        <v>8.9598017089179754E-6</v>
      </c>
      <c r="J101" s="152">
        <v>1.7919603417835951E-4</v>
      </c>
      <c r="K101" s="101">
        <v>1.7809410000790567E-7</v>
      </c>
      <c r="M101" s="54">
        <v>4.002385052404682E-2</v>
      </c>
      <c r="N101" s="54">
        <v>0.44231347432775076</v>
      </c>
      <c r="O101" s="54">
        <v>9.5121612198751726E-4</v>
      </c>
      <c r="P101" s="54">
        <v>6.0659653981920218E-7</v>
      </c>
      <c r="Q101" s="54">
        <v>4.4799008544589874E-2</v>
      </c>
      <c r="R101" s="54">
        <v>1.1872940000527046E-3</v>
      </c>
      <c r="S101" s="10"/>
      <c r="T101" s="101">
        <v>1.6100210465530127E-6</v>
      </c>
      <c r="U101" s="101">
        <v>1.5695066012794035E-7</v>
      </c>
      <c r="V101" s="101">
        <v>1.0918737716745642E-8</v>
      </c>
      <c r="W101" s="54">
        <v>1.3784310321412268</v>
      </c>
      <c r="X101" s="101">
        <v>2.1371292000948683E-9</v>
      </c>
      <c r="Y101" s="137"/>
      <c r="Z101" s="1"/>
    </row>
    <row r="102" spans="2:26" ht="24.9" customHeight="1" x14ac:dyDescent="0.25">
      <c r="B102" s="171"/>
      <c r="C102" s="33">
        <v>800</v>
      </c>
      <c r="E102" s="101">
        <v>7.724483302120632E-6</v>
      </c>
      <c r="F102" s="101">
        <v>1.1312288092533442E-5</v>
      </c>
      <c r="G102" s="101">
        <v>4.8661869466674765E-8</v>
      </c>
      <c r="H102" s="101">
        <v>3.6622230096869586E-9</v>
      </c>
      <c r="I102" s="152">
        <v>1.2713300798025848E-5</v>
      </c>
      <c r="J102" s="152">
        <v>2.5426601596051693E-4</v>
      </c>
      <c r="K102" s="101">
        <v>7.3984016674139283E-8</v>
      </c>
      <c r="M102" s="54">
        <v>7.7244833021206313E-2</v>
      </c>
      <c r="N102" s="54">
        <v>0.80802057803810301</v>
      </c>
      <c r="O102" s="54">
        <v>9.732373893334953E-4</v>
      </c>
      <c r="P102" s="54">
        <v>3.6622230096869587E-7</v>
      </c>
      <c r="Q102" s="54">
        <v>6.3566503990129239E-2</v>
      </c>
      <c r="R102" s="54">
        <v>4.9322677782759523E-4</v>
      </c>
      <c r="S102" s="10"/>
      <c r="T102" s="101">
        <v>2.9411949040586952E-6</v>
      </c>
      <c r="U102" s="101">
        <v>1.6058416924002673E-7</v>
      </c>
      <c r="V102" s="101">
        <v>6.5920014174365264E-9</v>
      </c>
      <c r="W102" s="54">
        <v>1.9558924304655145</v>
      </c>
      <c r="X102" s="101">
        <v>8.8780820008967145E-10</v>
      </c>
      <c r="Y102" s="137"/>
      <c r="Z102" s="1"/>
    </row>
    <row r="103" spans="2:26" ht="24.9" customHeight="1" x14ac:dyDescent="0.25">
      <c r="B103" s="171"/>
      <c r="C103" s="33">
        <v>900</v>
      </c>
      <c r="E103" s="101">
        <v>1.3228303823652414E-5</v>
      </c>
      <c r="F103" s="101">
        <v>1.8579258713498042E-5</v>
      </c>
      <c r="G103" s="101">
        <v>5.1308566152970008E-8</v>
      </c>
      <c r="H103" s="101">
        <v>3.6720536662694745E-9</v>
      </c>
      <c r="I103" s="152">
        <v>1.5292269111122643E-5</v>
      </c>
      <c r="J103" s="152">
        <v>3.0584538222245286E-4</v>
      </c>
      <c r="K103" s="101">
        <v>5.6424553899822065E-7</v>
      </c>
      <c r="M103" s="54">
        <v>0.13228303823652413</v>
      </c>
      <c r="N103" s="54">
        <v>1.3270899081070031</v>
      </c>
      <c r="O103" s="54">
        <v>1.0261713230594002E-3</v>
      </c>
      <c r="P103" s="54">
        <v>3.6720536662694747E-7</v>
      </c>
      <c r="Q103" s="54">
        <v>7.6461345555613208E-2</v>
      </c>
      <c r="R103" s="54">
        <v>3.7616369266548046E-3</v>
      </c>
      <c r="S103" s="10"/>
      <c r="T103" s="101">
        <v>4.8306072655094915E-6</v>
      </c>
      <c r="U103" s="101">
        <v>1.6931826830480102E-7</v>
      </c>
      <c r="V103" s="101">
        <v>6.6096965992850548E-9</v>
      </c>
      <c r="W103" s="54">
        <v>2.3526567863265604</v>
      </c>
      <c r="X103" s="101">
        <v>6.7709464679786484E-9</v>
      </c>
      <c r="Y103" s="137"/>
      <c r="Z103" s="1"/>
    </row>
    <row r="104" spans="2:26" ht="24.9" customHeight="1" x14ac:dyDescent="0.25">
      <c r="B104" s="171"/>
      <c r="C104" s="33">
        <v>1000</v>
      </c>
      <c r="E104" s="101">
        <v>4.4629989713749373E-5</v>
      </c>
      <c r="F104" s="101">
        <v>6.1777566196903125E-5</v>
      </c>
      <c r="G104" s="101">
        <v>6.7080475196883152E-8</v>
      </c>
      <c r="H104" s="101">
        <v>1.097385232658221E-8</v>
      </c>
      <c r="I104" s="152">
        <v>2.7788858659719657E-5</v>
      </c>
      <c r="J104" s="152">
        <v>5.557771731943931E-4</v>
      </c>
      <c r="K104" s="101">
        <v>1.156468718497968E-6</v>
      </c>
      <c r="M104" s="54">
        <v>0.44629989713749368</v>
      </c>
      <c r="N104" s="54">
        <v>4.412683299778795</v>
      </c>
      <c r="O104" s="54">
        <v>1.341609503937663E-3</v>
      </c>
      <c r="P104" s="54">
        <v>1.0973852326582211E-6</v>
      </c>
      <c r="Q104" s="54">
        <v>0.13894429329859828</v>
      </c>
      <c r="R104" s="54">
        <v>7.7097914566531204E-3</v>
      </c>
      <c r="S104" s="10"/>
      <c r="T104" s="101">
        <v>1.6062167211194814E-5</v>
      </c>
      <c r="U104" s="101">
        <v>2.2136556814971439E-7</v>
      </c>
      <c r="V104" s="101">
        <v>1.9752934187847983E-8</v>
      </c>
      <c r="W104" s="54">
        <v>4.2752090245722538</v>
      </c>
      <c r="X104" s="101">
        <v>1.3877624621975616E-8</v>
      </c>
      <c r="Y104" s="137"/>
      <c r="Z104" s="1"/>
    </row>
    <row r="105" spans="2:26" ht="24.9" customHeight="1" x14ac:dyDescent="0.25">
      <c r="B105" s="171"/>
      <c r="C105" s="33">
        <v>1100</v>
      </c>
      <c r="E105" s="101">
        <v>2.1703787811054547E-5</v>
      </c>
      <c r="F105" s="101">
        <v>3.6250100734764036E-5</v>
      </c>
      <c r="G105" s="101">
        <v>4.7671606600554041E-8</v>
      </c>
      <c r="H105" s="101">
        <v>7.2327580885642842E-9</v>
      </c>
      <c r="I105" s="152">
        <v>2.3071219532626795E-5</v>
      </c>
      <c r="J105" s="152">
        <v>4.6142439065253592E-4</v>
      </c>
      <c r="K105" s="101" t="s">
        <v>1907</v>
      </c>
      <c r="M105" s="54">
        <v>0.21703787811054545</v>
      </c>
      <c r="N105" s="54">
        <v>2.5892929096260024</v>
      </c>
      <c r="O105" s="54">
        <v>9.5343213201108082E-4</v>
      </c>
      <c r="P105" s="54">
        <v>7.2327580885642838E-7</v>
      </c>
      <c r="Q105" s="54">
        <v>0.11535609766313397</v>
      </c>
      <c r="R105" s="54">
        <v>-1.6592039783499193E-4</v>
      </c>
      <c r="S105" s="10"/>
      <c r="T105" s="101">
        <v>9.4250261910386503E-6</v>
      </c>
      <c r="U105" s="101">
        <v>1.5731630178182834E-7</v>
      </c>
      <c r="V105" s="101">
        <v>1.3018964559415714E-8</v>
      </c>
      <c r="W105" s="54">
        <v>3.5494183896348912</v>
      </c>
      <c r="X105" s="101">
        <v>-2.9865671610298546E-10</v>
      </c>
      <c r="Y105" s="137"/>
      <c r="Z105" s="1"/>
    </row>
    <row r="106" spans="2:26" ht="24.9" customHeight="1" x14ac:dyDescent="0.25">
      <c r="B106" s="171"/>
      <c r="C106" s="33">
        <v>1200</v>
      </c>
      <c r="E106" s="101">
        <v>6.8085786829804905E-6</v>
      </c>
      <c r="F106" s="101">
        <v>1.3322378515014197E-5</v>
      </c>
      <c r="G106" s="101">
        <v>3.5216908956507073E-8</v>
      </c>
      <c r="H106" s="101">
        <v>3.7235628322319727E-9</v>
      </c>
      <c r="I106" s="152">
        <v>1.4261974252991969E-5</v>
      </c>
      <c r="J106" s="152">
        <v>2.8523948505983937E-4</v>
      </c>
      <c r="K106" s="101">
        <v>4.0842702853643326E-8</v>
      </c>
      <c r="M106" s="54">
        <v>6.8085786829804901E-2</v>
      </c>
      <c r="N106" s="54">
        <v>0.95159846535815695</v>
      </c>
      <c r="O106" s="54">
        <v>7.0433817913014138E-4</v>
      </c>
      <c r="P106" s="54">
        <v>3.7235628322319725E-7</v>
      </c>
      <c r="Q106" s="54">
        <v>7.1309871264959843E-2</v>
      </c>
      <c r="R106" s="54">
        <v>2.7228468569095554E-4</v>
      </c>
      <c r="S106" s="10"/>
      <c r="T106" s="101">
        <v>3.4638184139036914E-6</v>
      </c>
      <c r="U106" s="101">
        <v>1.1621579955647333E-7</v>
      </c>
      <c r="V106" s="101">
        <v>6.702413098017552E-9</v>
      </c>
      <c r="W106" s="54">
        <v>2.1941498850756873</v>
      </c>
      <c r="X106" s="101">
        <v>4.901124342437199E-10</v>
      </c>
      <c r="Y106" s="137"/>
      <c r="Z106" s="1"/>
    </row>
    <row r="107" spans="2:26" ht="24.9" customHeight="1" x14ac:dyDescent="0.25">
      <c r="B107" s="171"/>
      <c r="C107" s="33">
        <v>1300</v>
      </c>
      <c r="E107" s="101">
        <v>1.1746998801593313E-6</v>
      </c>
      <c r="F107" s="101">
        <v>1.2081118280465571E-5</v>
      </c>
      <c r="G107" s="101">
        <v>1.4588025504882284E-8</v>
      </c>
      <c r="H107" s="101">
        <v>2.807143402982799E-9</v>
      </c>
      <c r="I107" s="152">
        <v>4.1654448710322167E-6</v>
      </c>
      <c r="J107" s="152">
        <v>8.330889742064433E-5</v>
      </c>
      <c r="K107" s="101" t="s">
        <v>1907</v>
      </c>
      <c r="M107" s="54">
        <v>1.1746998801593312E-2</v>
      </c>
      <c r="N107" s="54">
        <v>0.86293702003325512</v>
      </c>
      <c r="O107" s="54">
        <v>2.9176051009764567E-4</v>
      </c>
      <c r="P107" s="54">
        <v>2.807143402982799E-7</v>
      </c>
      <c r="Q107" s="54">
        <v>2.0827224355161083E-2</v>
      </c>
      <c r="R107" s="54">
        <v>-7.5551414927041248E-5</v>
      </c>
      <c r="S107" s="10"/>
      <c r="T107" s="101">
        <v>3.1410907529210486E-6</v>
      </c>
      <c r="U107" s="101">
        <v>4.8140484166111534E-8</v>
      </c>
      <c r="V107" s="101">
        <v>5.0528581253690389E-9</v>
      </c>
      <c r="W107" s="54">
        <v>0.64083767246649481</v>
      </c>
      <c r="X107" s="101">
        <v>-1.3599254686867424E-10</v>
      </c>
      <c r="Y107" s="137"/>
      <c r="Z107" s="1"/>
    </row>
    <row r="108" spans="2:26" ht="24.9" customHeight="1" x14ac:dyDescent="0.25">
      <c r="B108" s="172"/>
      <c r="C108" s="38">
        <v>1400</v>
      </c>
      <c r="E108" s="102" t="s">
        <v>1907</v>
      </c>
      <c r="F108" s="102">
        <v>3.8955491795253231E-6</v>
      </c>
      <c r="G108" s="102">
        <v>7.473722180968975E-8</v>
      </c>
      <c r="H108" s="102">
        <v>1.7126883699813303E-9</v>
      </c>
      <c r="I108" s="153">
        <v>1.5441703000162444E-6</v>
      </c>
      <c r="J108" s="153">
        <v>3.0883406000324887E-5</v>
      </c>
      <c r="K108" s="102" t="s">
        <v>1907</v>
      </c>
      <c r="M108" s="59">
        <v>-1.9760913577980261E-5</v>
      </c>
      <c r="N108" s="59">
        <v>0.27825351282323735</v>
      </c>
      <c r="O108" s="59">
        <v>1.4947444361937949E-3</v>
      </c>
      <c r="P108" s="59">
        <v>1.7126883699813302E-7</v>
      </c>
      <c r="Q108" s="59">
        <v>7.720851500081222E-3</v>
      </c>
      <c r="R108" s="59">
        <v>-2.8342309786109346E-3</v>
      </c>
      <c r="S108" s="10"/>
      <c r="T108" s="102">
        <v>1.0128427866765839E-6</v>
      </c>
      <c r="U108" s="102">
        <v>2.4663283197197616E-7</v>
      </c>
      <c r="V108" s="102">
        <v>3.0828390659663951E-9</v>
      </c>
      <c r="W108" s="59">
        <v>0.23756466154096065</v>
      </c>
      <c r="X108" s="102">
        <v>-5.1016157614996815E-9</v>
      </c>
      <c r="Y108" s="137"/>
      <c r="Z108" s="1"/>
    </row>
    <row r="109" spans="2:26" ht="24.9" customHeight="1" x14ac:dyDescent="0.25">
      <c r="B109" s="35"/>
      <c r="C109" s="40" t="s">
        <v>494</v>
      </c>
      <c r="D109" s="40"/>
      <c r="E109" s="101">
        <v>9.2666896480357214E-6</v>
      </c>
      <c r="F109" s="101">
        <v>1.4974354227360507E-5</v>
      </c>
      <c r="G109" s="101">
        <v>4.6445650625122444E-8</v>
      </c>
      <c r="H109" s="101">
        <v>3.7178920944142591E-9</v>
      </c>
      <c r="I109" s="101">
        <v>1.1314436992145937E-5</v>
      </c>
      <c r="J109" s="101">
        <v>2.2628873984291867E-4</v>
      </c>
      <c r="K109" s="101">
        <v>2.4519974977227593E-7</v>
      </c>
      <c r="L109" s="40"/>
      <c r="M109" s="54">
        <v>9.2666896480357211E-2</v>
      </c>
      <c r="N109" s="54">
        <v>1.0695967305257503</v>
      </c>
      <c r="O109" s="54">
        <v>9.289130125024488E-4</v>
      </c>
      <c r="P109" s="54">
        <v>3.7178920944142589E-7</v>
      </c>
      <c r="Q109" s="54">
        <v>5.6572184960729653E-2</v>
      </c>
      <c r="R109" s="54">
        <v>1.6346649984818396E-3</v>
      </c>
      <c r="S109" s="10"/>
      <c r="T109" s="101">
        <v>3.8933320991137313E-6</v>
      </c>
      <c r="U109" s="101">
        <v>1.5327064706290404E-7</v>
      </c>
      <c r="V109" s="101">
        <v>6.6922057699456678E-9</v>
      </c>
      <c r="W109" s="54">
        <v>1.7406826141762974</v>
      </c>
      <c r="X109" s="101">
        <v>2.9423969972673112E-9</v>
      </c>
      <c r="Y109" s="1"/>
      <c r="Z109" s="1"/>
    </row>
    <row r="110" spans="2:26" ht="24.9" customHeight="1" x14ac:dyDescent="0.25">
      <c r="B110" s="37"/>
      <c r="C110" s="42" t="s">
        <v>501</v>
      </c>
      <c r="D110" s="40"/>
      <c r="E110" s="102">
        <v>1.163207751919778E-5</v>
      </c>
      <c r="F110" s="102">
        <v>1.5881299347112124E-5</v>
      </c>
      <c r="G110" s="102">
        <v>1.4267149522897866E-8</v>
      </c>
      <c r="H110" s="102">
        <v>3.0837367023543071E-9</v>
      </c>
      <c r="I110" s="102">
        <v>7.0896074107164097E-6</v>
      </c>
      <c r="J110" s="102">
        <v>1.4179214821432819E-4</v>
      </c>
      <c r="K110" s="102">
        <v>3.950863878679401E-7</v>
      </c>
      <c r="L110" s="40"/>
      <c r="M110" s="59">
        <v>0.11632077519197778</v>
      </c>
      <c r="N110" s="59">
        <v>1.134378524793723</v>
      </c>
      <c r="O110" s="59">
        <v>2.8534299045795725E-4</v>
      </c>
      <c r="P110" s="59">
        <v>3.0837367023543077E-7</v>
      </c>
      <c r="Q110" s="59">
        <v>3.5448037053582085E-2</v>
      </c>
      <c r="R110" s="59">
        <v>2.6339092524529338E-3</v>
      </c>
      <c r="S110" s="10"/>
      <c r="T110" s="102">
        <v>4.1291378302491524E-6</v>
      </c>
      <c r="U110" s="102">
        <v>4.7081593425562949E-8</v>
      </c>
      <c r="V110" s="102">
        <v>5.5507260642377544E-9</v>
      </c>
      <c r="W110" s="59">
        <v>1.0907088324179093</v>
      </c>
      <c r="X110" s="102">
        <v>4.7410366544152818E-9</v>
      </c>
      <c r="Y110" s="1"/>
      <c r="Z110" s="1"/>
    </row>
    <row r="111" spans="2:26" ht="24.9" customHeight="1" x14ac:dyDescent="0.25">
      <c r="B111" s="86"/>
      <c r="D111" s="30"/>
      <c r="E111" s="51" t="s">
        <v>1910</v>
      </c>
      <c r="F111" s="51"/>
      <c r="G111" s="12"/>
      <c r="H111" s="12"/>
      <c r="I111" s="12"/>
      <c r="L111" s="30"/>
      <c r="M111" s="51" t="s">
        <v>687</v>
      </c>
      <c r="N111" s="51"/>
      <c r="O111" s="12"/>
      <c r="P111" s="12"/>
      <c r="Q111" s="12"/>
      <c r="T111" s="51" t="s">
        <v>1533</v>
      </c>
      <c r="U111" s="12"/>
      <c r="V111" s="12"/>
      <c r="W111" s="12"/>
      <c r="Y111" s="5"/>
      <c r="Z111" s="1"/>
    </row>
    <row r="112" spans="2:26" ht="24.9" customHeight="1" x14ac:dyDescent="0.25">
      <c r="Y112" s="5"/>
      <c r="Z112" s="1"/>
    </row>
    <row r="113" spans="25:26" ht="24.9" customHeight="1" x14ac:dyDescent="0.25">
      <c r="Y113" s="5"/>
      <c r="Z113" s="1"/>
    </row>
    <row r="114" spans="25:26" ht="24.9" customHeight="1" x14ac:dyDescent="0.25">
      <c r="Y114" s="5"/>
      <c r="Z114" s="1"/>
    </row>
    <row r="115" spans="25:26" ht="24.9" customHeight="1" x14ac:dyDescent="0.25">
      <c r="Y115" s="5"/>
      <c r="Z115" s="1"/>
    </row>
    <row r="116" spans="25:26" ht="24.9" customHeight="1" x14ac:dyDescent="0.25">
      <c r="Y116" s="5"/>
      <c r="Z116" s="1"/>
    </row>
    <row r="117" spans="25:26" ht="24.9" customHeight="1" x14ac:dyDescent="0.25">
      <c r="Y117" s="5"/>
      <c r="Z117" s="1"/>
    </row>
    <row r="118" spans="25:26" ht="24.9" customHeight="1" x14ac:dyDescent="0.25">
      <c r="Y118" s="5"/>
      <c r="Z118" s="1"/>
    </row>
    <row r="119" spans="25:26" ht="24.9" customHeight="1" x14ac:dyDescent="0.25">
      <c r="Y119" s="5"/>
      <c r="Z119" s="1"/>
    </row>
    <row r="120" spans="25:26" ht="24.9" customHeight="1" x14ac:dyDescent="0.25">
      <c r="Y120" s="5"/>
      <c r="Z120" s="1"/>
    </row>
    <row r="121" spans="25:26" ht="24.9" customHeight="1" x14ac:dyDescent="0.25"/>
    <row r="122" spans="25:26" ht="24.9" customHeight="1" x14ac:dyDescent="0.25"/>
    <row r="123" spans="25:26" ht="24.9" customHeight="1" x14ac:dyDescent="0.25"/>
    <row r="124" spans="25:26" ht="24.9" customHeight="1" x14ac:dyDescent="0.25"/>
    <row r="125" spans="25:26" ht="24.9" customHeight="1" x14ac:dyDescent="0.25"/>
    <row r="126" spans="25:26" ht="24.9" customHeight="1" x14ac:dyDescent="0.25"/>
    <row r="127" spans="25:26" ht="24.9" customHeight="1" x14ac:dyDescent="0.25"/>
  </sheetData>
  <mergeCells count="11">
    <mergeCell ref="B5:B9"/>
    <mergeCell ref="B2:K2"/>
    <mergeCell ref="B95:B108"/>
    <mergeCell ref="B79:B91"/>
    <mergeCell ref="B61:B75"/>
    <mergeCell ref="B21:B25"/>
    <mergeCell ref="B13:B17"/>
    <mergeCell ref="B53:B57"/>
    <mergeCell ref="B45:B49"/>
    <mergeCell ref="B37:B41"/>
    <mergeCell ref="B29:B33"/>
  </mergeCells>
  <conditionalFormatting sqref="E5:K10 M5:R10 E13:K18 M13:R18 E21:K26 M21:R26 E29:K34 M29:R34 E37:K42 M37:R42 E45:K50 M45:R50 E53:K58 M53:R58 E61:G65 I61:K65 M61:R76 E66:K67 E68:J69 E70:I70 E71:H72 E73:I74 E75:K76 I79:K80 E79:G88 M79:R92 I81:J84 I85:K88 E89:K92">
    <cfRule type="cellIs" dxfId="4" priority="20" operator="greaterThan">
      <formula>1</formula>
    </cfRule>
  </conditionalFormatting>
  <conditionalFormatting sqref="E94:K103 E104:J107 F108:J108">
    <cfRule type="cellIs" dxfId="3" priority="4" operator="greaterThan">
      <formula>1</formula>
    </cfRule>
  </conditionalFormatting>
  <conditionalFormatting sqref="M94:R108">
    <cfRule type="cellIs" dxfId="2" priority="10" operator="greaterThan">
      <formula>1</formula>
    </cfRule>
  </conditionalFormatting>
  <conditionalFormatting sqref="T5:V10 X5:X10 T13:V18 X13:X18 T21:V26 X21:X26 T29:V34 X29:X34 T37:V42 X37:X42 T45:V50 X45:X50 T53:V58 X53:X58 T61:V76 X61:X76 T79:V92 X79:X92 T95:V109 X95:X109 E109:H109 K109 M109:R109">
    <cfRule type="cellIs" dxfId="1" priority="13" operator="greaterThan">
      <formula>0.00001</formula>
    </cfRule>
  </conditionalFormatting>
  <conditionalFormatting sqref="W5:W110">
    <cfRule type="cellIs" dxfId="0" priority="1" operator="greaterThanOrEqual">
      <formula>1</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23B84-E2F0-4695-AA75-8B659B1257B7}">
  <sheetPr codeName="Sheet4"/>
  <dimension ref="B1:R17"/>
  <sheetViews>
    <sheetView zoomScale="80" zoomScaleNormal="80" workbookViewId="0">
      <selection activeCell="B2" sqref="B2:M2"/>
    </sheetView>
  </sheetViews>
  <sheetFormatPr defaultColWidth="9.109375" defaultRowHeight="25.2" customHeight="1" x14ac:dyDescent="0.3"/>
  <cols>
    <col min="1" max="1" width="6.33203125" style="10" customWidth="1"/>
    <col min="2" max="2" width="26" style="10" customWidth="1"/>
    <col min="3" max="3" width="22.6640625" style="10" customWidth="1"/>
    <col min="4" max="4" width="16.109375" style="11" customWidth="1"/>
    <col min="5" max="6" width="15.5546875" style="11" customWidth="1"/>
    <col min="7" max="7" width="18.44140625" style="11" customWidth="1"/>
    <col min="8" max="8" width="16.44140625" style="11" customWidth="1"/>
    <col min="9" max="9" width="15" style="11" customWidth="1"/>
    <col min="10" max="10" width="16.109375" style="11" customWidth="1"/>
    <col min="11" max="11" width="18.109375" style="11" customWidth="1"/>
    <col min="12" max="14" width="17.88671875" style="11" customWidth="1"/>
    <col min="15" max="15" width="13.44140625" style="11" customWidth="1"/>
    <col min="16" max="16" width="9.109375" style="11"/>
    <col min="17" max="16384" width="9.109375" style="10"/>
  </cols>
  <sheetData>
    <row r="1" spans="2:18" ht="13.2" customHeight="1" x14ac:dyDescent="0.3"/>
    <row r="2" spans="2:18" s="1" customFormat="1" ht="33" customHeight="1" thickBot="1" x14ac:dyDescent="0.3">
      <c r="B2" s="174" t="s">
        <v>1793</v>
      </c>
      <c r="C2" s="174"/>
      <c r="D2" s="174"/>
      <c r="E2" s="174"/>
      <c r="F2" s="174"/>
      <c r="G2" s="174"/>
      <c r="H2" s="174"/>
      <c r="I2" s="174"/>
      <c r="J2" s="174"/>
      <c r="K2" s="174"/>
      <c r="L2" s="174"/>
      <c r="M2" s="174"/>
      <c r="N2" s="98"/>
      <c r="O2" s="98"/>
      <c r="P2" s="98"/>
      <c r="Q2" s="98"/>
      <c r="R2" s="98"/>
    </row>
    <row r="3" spans="2:18" s="69" customFormat="1" ht="39.6" x14ac:dyDescent="0.3">
      <c r="B3" s="77" t="s">
        <v>633</v>
      </c>
      <c r="C3" s="77" t="s">
        <v>526</v>
      </c>
      <c r="D3" s="78" t="s">
        <v>527</v>
      </c>
      <c r="E3" s="78" t="s">
        <v>528</v>
      </c>
      <c r="F3" s="78" t="s">
        <v>1441</v>
      </c>
      <c r="G3" s="78" t="s">
        <v>1442</v>
      </c>
      <c r="H3" s="78" t="s">
        <v>1443</v>
      </c>
      <c r="I3" s="78" t="s">
        <v>529</v>
      </c>
      <c r="J3" s="78" t="s">
        <v>691</v>
      </c>
      <c r="K3" s="78" t="s">
        <v>530</v>
      </c>
      <c r="L3" s="78" t="s">
        <v>632</v>
      </c>
      <c r="M3" s="78" t="s">
        <v>531</v>
      </c>
      <c r="N3" s="68"/>
      <c r="O3" s="68"/>
      <c r="P3" s="68"/>
      <c r="Q3" s="68"/>
      <c r="R3" s="68"/>
    </row>
    <row r="4" spans="2:18" ht="25.2" customHeight="1" x14ac:dyDescent="0.3">
      <c r="B4" s="16" t="s">
        <v>516</v>
      </c>
      <c r="C4" s="16" t="s">
        <v>492</v>
      </c>
      <c r="D4" s="72" t="s">
        <v>532</v>
      </c>
      <c r="E4" s="11" t="s">
        <v>533</v>
      </c>
      <c r="F4" s="54" t="s">
        <v>534</v>
      </c>
      <c r="G4" s="70">
        <v>50</v>
      </c>
      <c r="H4" s="71">
        <v>9.5</v>
      </c>
      <c r="I4" s="70">
        <v>475</v>
      </c>
      <c r="J4" s="70">
        <v>15.833333333333334</v>
      </c>
      <c r="K4" s="54">
        <v>0.34159292035398231</v>
      </c>
      <c r="L4" s="33">
        <v>4.3911917098445592</v>
      </c>
      <c r="M4" s="33">
        <v>87.823834196891184</v>
      </c>
      <c r="N4" s="33"/>
      <c r="O4" s="33"/>
      <c r="Q4" s="11"/>
      <c r="R4" s="11"/>
    </row>
    <row r="5" spans="2:18" ht="25.2" customHeight="1" x14ac:dyDescent="0.3">
      <c r="B5" s="16" t="s">
        <v>40</v>
      </c>
      <c r="C5" s="16" t="s">
        <v>1223</v>
      </c>
      <c r="D5" s="72" t="s">
        <v>535</v>
      </c>
      <c r="E5" s="11" t="s">
        <v>533</v>
      </c>
      <c r="F5" s="54" t="s">
        <v>536</v>
      </c>
      <c r="G5" s="70">
        <v>40</v>
      </c>
      <c r="H5" s="71">
        <v>9.5</v>
      </c>
      <c r="I5" s="70">
        <v>380</v>
      </c>
      <c r="J5" s="70">
        <v>12.666666666666666</v>
      </c>
      <c r="K5" s="54">
        <v>0.26867256637168141</v>
      </c>
      <c r="L5" s="33">
        <v>5.5830039525691699</v>
      </c>
      <c r="M5" s="33">
        <v>111.66007905138341</v>
      </c>
      <c r="N5" s="33"/>
      <c r="Q5" s="11"/>
      <c r="R5" s="11"/>
    </row>
    <row r="6" spans="2:18" ht="25.2" customHeight="1" x14ac:dyDescent="0.3">
      <c r="B6" s="16" t="s">
        <v>495</v>
      </c>
      <c r="C6" s="16" t="s">
        <v>492</v>
      </c>
      <c r="D6" s="72" t="s">
        <v>537</v>
      </c>
      <c r="E6" s="11" t="s">
        <v>538</v>
      </c>
      <c r="F6" s="54" t="s">
        <v>539</v>
      </c>
      <c r="G6" s="70">
        <v>0</v>
      </c>
      <c r="H6" s="71">
        <v>9.5</v>
      </c>
      <c r="I6" s="70"/>
      <c r="J6" s="70"/>
      <c r="K6" s="54"/>
      <c r="L6" s="33"/>
      <c r="M6" s="33"/>
      <c r="N6" s="33"/>
      <c r="Q6" s="11"/>
      <c r="R6" s="11"/>
    </row>
    <row r="7" spans="2:18" ht="25.2" customHeight="1" x14ac:dyDescent="0.3">
      <c r="B7" s="16" t="s">
        <v>412</v>
      </c>
      <c r="C7" s="16" t="s">
        <v>496</v>
      </c>
      <c r="D7" s="72" t="s">
        <v>540</v>
      </c>
      <c r="E7" s="11" t="s">
        <v>533</v>
      </c>
      <c r="F7" s="54" t="s">
        <v>541</v>
      </c>
      <c r="G7" s="70">
        <v>50</v>
      </c>
      <c r="H7" s="70">
        <v>14</v>
      </c>
      <c r="I7" s="70">
        <v>700</v>
      </c>
      <c r="J7" s="70">
        <v>23.333333333333332</v>
      </c>
      <c r="K7" s="54">
        <v>0.36769911504424779</v>
      </c>
      <c r="L7" s="33">
        <v>4.0794223826714804</v>
      </c>
      <c r="M7" s="33">
        <v>81.588447653429597</v>
      </c>
      <c r="N7" s="33"/>
      <c r="Q7" s="11"/>
      <c r="R7" s="11"/>
    </row>
    <row r="8" spans="2:18" ht="25.2" customHeight="1" x14ac:dyDescent="0.3">
      <c r="B8" s="16" t="s">
        <v>414</v>
      </c>
      <c r="C8" s="16" t="s">
        <v>1223</v>
      </c>
      <c r="D8" s="72" t="s">
        <v>542</v>
      </c>
      <c r="E8" s="11" t="s">
        <v>543</v>
      </c>
      <c r="F8" s="54" t="s">
        <v>544</v>
      </c>
      <c r="G8" s="70">
        <v>50</v>
      </c>
      <c r="H8" s="70">
        <v>14</v>
      </c>
      <c r="I8" s="70">
        <v>700</v>
      </c>
      <c r="J8" s="70">
        <v>23.333333333333332</v>
      </c>
      <c r="K8" s="54">
        <v>0.38468468468468464</v>
      </c>
      <c r="L8" s="33">
        <v>3.8992974238875884</v>
      </c>
      <c r="M8" s="33">
        <v>77.985948477751762</v>
      </c>
      <c r="N8" s="33"/>
      <c r="Q8" s="11"/>
      <c r="R8" s="11"/>
    </row>
    <row r="9" spans="2:18" ht="25.2" customHeight="1" x14ac:dyDescent="0.3">
      <c r="B9" s="24" t="s">
        <v>49</v>
      </c>
      <c r="C9" s="73" t="s">
        <v>1200</v>
      </c>
      <c r="D9" s="72" t="s">
        <v>545</v>
      </c>
      <c r="E9" s="11" t="s">
        <v>546</v>
      </c>
      <c r="F9" s="54" t="s">
        <v>547</v>
      </c>
      <c r="G9" s="33">
        <v>50</v>
      </c>
      <c r="H9" s="33">
        <v>6</v>
      </c>
      <c r="I9" s="70">
        <v>300</v>
      </c>
      <c r="J9" s="70">
        <v>10</v>
      </c>
      <c r="K9" s="54">
        <v>0.26096491228070201</v>
      </c>
      <c r="L9" s="33">
        <v>5.7478991596638664</v>
      </c>
      <c r="M9" s="33">
        <v>114.95798319327731</v>
      </c>
      <c r="N9" s="33"/>
      <c r="O9" s="33"/>
      <c r="Q9" s="11"/>
      <c r="R9" s="11"/>
    </row>
    <row r="10" spans="2:18" ht="25.2" customHeight="1" x14ac:dyDescent="0.3">
      <c r="B10" s="56" t="s">
        <v>50</v>
      </c>
      <c r="C10" s="19" t="s">
        <v>1223</v>
      </c>
      <c r="D10" s="74" t="s">
        <v>548</v>
      </c>
      <c r="E10" s="14" t="s">
        <v>549</v>
      </c>
      <c r="F10" s="59" t="s">
        <v>550</v>
      </c>
      <c r="G10" s="38">
        <v>50</v>
      </c>
      <c r="H10" s="38">
        <v>6</v>
      </c>
      <c r="I10" s="75">
        <v>300</v>
      </c>
      <c r="J10" s="75">
        <v>10</v>
      </c>
      <c r="K10" s="59">
        <v>0.18303571428571427</v>
      </c>
      <c r="L10" s="38">
        <v>8.1951219512195124</v>
      </c>
      <c r="M10" s="38">
        <v>163.90243902439025</v>
      </c>
      <c r="N10" s="33"/>
      <c r="Q10" s="11"/>
      <c r="R10" s="11"/>
    </row>
    <row r="11" spans="2:18" ht="13.2" x14ac:dyDescent="0.3">
      <c r="B11" s="24" t="s">
        <v>683</v>
      </c>
      <c r="C11" s="24"/>
      <c r="D11" s="33"/>
      <c r="E11" s="33"/>
      <c r="F11" s="70"/>
      <c r="G11" s="70"/>
      <c r="H11" s="72"/>
      <c r="J11" s="54"/>
      <c r="K11" s="54"/>
      <c r="L11" s="76"/>
      <c r="M11" s="33"/>
      <c r="Q11" s="11"/>
      <c r="R11" s="11"/>
    </row>
    <row r="12" spans="2:18" ht="13.2" x14ac:dyDescent="0.3">
      <c r="B12" s="10" t="s">
        <v>1439</v>
      </c>
    </row>
    <row r="13" spans="2:18" ht="13.2" x14ac:dyDescent="0.3">
      <c r="B13" s="173" t="s">
        <v>1440</v>
      </c>
      <c r="C13" s="173"/>
      <c r="D13" s="173"/>
      <c r="E13" s="173"/>
      <c r="F13" s="173"/>
      <c r="G13" s="173"/>
      <c r="H13" s="16"/>
      <c r="M13" s="33"/>
    </row>
    <row r="14" spans="2:18" ht="13.2" x14ac:dyDescent="0.3">
      <c r="B14" s="23" t="s">
        <v>837</v>
      </c>
      <c r="C14" s="16"/>
      <c r="D14" s="16"/>
      <c r="E14" s="16"/>
      <c r="F14" s="16"/>
      <c r="G14" s="16"/>
      <c r="H14" s="16"/>
    </row>
    <row r="16" spans="2:18" ht="25.2" customHeight="1" x14ac:dyDescent="0.3">
      <c r="F16" s="62"/>
    </row>
    <row r="17" spans="10:10" ht="25.2" customHeight="1" x14ac:dyDescent="0.3">
      <c r="J17" s="33"/>
    </row>
  </sheetData>
  <mergeCells count="2">
    <mergeCell ref="B13:G13"/>
    <mergeCell ref="B2:M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74169-755E-4D33-9000-CA232AE9F56C}">
  <sheetPr codeName="Sheet3"/>
  <dimension ref="B2:R245"/>
  <sheetViews>
    <sheetView zoomScale="90" zoomScaleNormal="90" workbookViewId="0">
      <selection activeCell="C49" sqref="C49"/>
    </sheetView>
  </sheetViews>
  <sheetFormatPr defaultColWidth="8.88671875" defaultRowHeight="13.2" x14ac:dyDescent="0.25"/>
  <cols>
    <col min="1" max="1" width="6.33203125" style="1" customWidth="1"/>
    <col min="2" max="2" width="30.5546875" style="1" customWidth="1"/>
    <col min="3" max="3" width="53" style="1" bestFit="1" customWidth="1"/>
    <col min="4" max="16384" width="8.88671875" style="1"/>
  </cols>
  <sheetData>
    <row r="2" spans="2:18" ht="13.2" customHeight="1" x14ac:dyDescent="0.25">
      <c r="B2" s="157" t="s">
        <v>1794</v>
      </c>
      <c r="C2" s="157"/>
      <c r="D2" s="98"/>
      <c r="E2" s="98"/>
      <c r="F2" s="98"/>
      <c r="G2" s="98"/>
      <c r="H2" s="98"/>
      <c r="I2" s="98"/>
      <c r="J2" s="98"/>
      <c r="K2" s="98"/>
      <c r="L2" s="98"/>
      <c r="M2" s="98"/>
      <c r="N2" s="98"/>
      <c r="O2" s="98"/>
      <c r="P2" s="98"/>
      <c r="Q2" s="98"/>
      <c r="R2" s="98"/>
    </row>
    <row r="3" spans="2:18" ht="27.6" customHeight="1" thickBot="1" x14ac:dyDescent="0.3">
      <c r="B3" s="174"/>
      <c r="C3" s="174"/>
      <c r="D3" s="97"/>
      <c r="E3" s="97"/>
      <c r="F3" s="97"/>
      <c r="G3" s="97"/>
      <c r="H3" s="97"/>
      <c r="I3" s="97"/>
      <c r="J3" s="97"/>
      <c r="K3" s="97"/>
      <c r="L3" s="97"/>
      <c r="M3" s="97"/>
      <c r="N3" s="97"/>
      <c r="O3" s="97"/>
      <c r="P3" s="97"/>
      <c r="Q3" s="97"/>
      <c r="R3" s="97"/>
    </row>
    <row r="4" spans="2:18" s="10" customFormat="1" ht="25.2" customHeight="1" x14ac:dyDescent="0.3">
      <c r="B4" s="112" t="s">
        <v>694</v>
      </c>
      <c r="C4" s="77"/>
      <c r="D4" s="110"/>
      <c r="E4" s="110"/>
      <c r="F4" s="110"/>
      <c r="G4" s="110"/>
      <c r="H4" s="110"/>
      <c r="I4" s="110"/>
      <c r="J4" s="110"/>
      <c r="K4" s="110"/>
      <c r="L4" s="110"/>
      <c r="M4" s="110"/>
      <c r="N4" s="110"/>
      <c r="O4" s="110"/>
      <c r="P4" s="110"/>
      <c r="Q4" s="110"/>
      <c r="R4" s="110"/>
    </row>
    <row r="5" spans="2:18" s="10" customFormat="1" ht="25.2" customHeight="1" x14ac:dyDescent="0.3">
      <c r="B5" s="77" t="s">
        <v>517</v>
      </c>
      <c r="C5" s="77" t="s">
        <v>693</v>
      </c>
      <c r="D5" s="110"/>
      <c r="E5" s="110"/>
      <c r="F5" s="110"/>
      <c r="G5" s="110"/>
      <c r="H5" s="110"/>
      <c r="I5" s="110"/>
      <c r="J5" s="110"/>
      <c r="K5" s="110"/>
      <c r="L5" s="110"/>
      <c r="M5" s="110"/>
      <c r="N5" s="110"/>
      <c r="O5" s="110"/>
      <c r="P5" s="110"/>
      <c r="Q5" s="110"/>
      <c r="R5" s="110"/>
    </row>
    <row r="6" spans="2:18" s="10" customFormat="1" ht="25.2" customHeight="1" x14ac:dyDescent="0.3">
      <c r="B6" s="73" t="s">
        <v>695</v>
      </c>
      <c r="C6" s="73" t="s">
        <v>1258</v>
      </c>
      <c r="D6" s="110"/>
      <c r="E6" s="110"/>
      <c r="F6" s="110"/>
      <c r="G6" s="110"/>
      <c r="H6" s="110"/>
      <c r="I6" s="110"/>
      <c r="J6" s="110"/>
      <c r="K6" s="110"/>
      <c r="L6" s="110"/>
      <c r="M6" s="110"/>
      <c r="N6" s="110"/>
      <c r="O6" s="110"/>
      <c r="P6" s="110"/>
      <c r="Q6" s="110"/>
      <c r="R6" s="110"/>
    </row>
    <row r="7" spans="2:18" s="10" customFormat="1" ht="25.2" customHeight="1" x14ac:dyDescent="0.3">
      <c r="B7" s="10" t="s">
        <v>697</v>
      </c>
      <c r="C7" s="10" t="s">
        <v>713</v>
      </c>
    </row>
    <row r="8" spans="2:18" s="10" customFormat="1" ht="25.2" customHeight="1" x14ac:dyDescent="0.3">
      <c r="B8" s="10" t="s">
        <v>698</v>
      </c>
      <c r="C8" s="10" t="s">
        <v>712</v>
      </c>
    </row>
    <row r="9" spans="2:18" s="10" customFormat="1" ht="25.2" customHeight="1" x14ac:dyDescent="0.3">
      <c r="B9" s="10" t="s">
        <v>714</v>
      </c>
      <c r="C9" s="10" t="s">
        <v>1226</v>
      </c>
    </row>
    <row r="10" spans="2:18" s="10" customFormat="1" ht="25.2" customHeight="1" x14ac:dyDescent="0.3">
      <c r="C10" s="10" t="s">
        <v>1227</v>
      </c>
    </row>
    <row r="11" spans="2:18" s="10" customFormat="1" ht="25.2" customHeight="1" x14ac:dyDescent="0.3">
      <c r="B11" s="10" t="s">
        <v>699</v>
      </c>
      <c r="C11" s="10" t="s">
        <v>1228</v>
      </c>
    </row>
    <row r="12" spans="2:18" s="10" customFormat="1" ht="25.2" customHeight="1" x14ac:dyDescent="0.3">
      <c r="B12" s="10" t="s">
        <v>700</v>
      </c>
      <c r="C12" s="10" t="s">
        <v>1229</v>
      </c>
    </row>
    <row r="13" spans="2:18" s="10" customFormat="1" ht="25.2" customHeight="1" x14ac:dyDescent="0.3">
      <c r="B13" s="10" t="s">
        <v>707</v>
      </c>
      <c r="C13" s="10" t="s">
        <v>1230</v>
      </c>
    </row>
    <row r="14" spans="2:18" s="10" customFormat="1" ht="25.2" customHeight="1" x14ac:dyDescent="0.3">
      <c r="B14" s="10" t="s">
        <v>708</v>
      </c>
      <c r="C14" s="10" t="s">
        <v>1231</v>
      </c>
    </row>
    <row r="15" spans="2:18" s="10" customFormat="1" ht="25.2" customHeight="1" x14ac:dyDescent="0.3">
      <c r="B15" s="10" t="s">
        <v>709</v>
      </c>
      <c r="C15" s="10" t="s">
        <v>1237</v>
      </c>
    </row>
    <row r="16" spans="2:18" s="10" customFormat="1" ht="25.2" customHeight="1" x14ac:dyDescent="0.3">
      <c r="B16" s="10" t="s">
        <v>1197</v>
      </c>
      <c r="C16" s="24" t="s">
        <v>1199</v>
      </c>
    </row>
    <row r="17" spans="2:18" s="10" customFormat="1" ht="25.2" customHeight="1" x14ac:dyDescent="0.3">
      <c r="B17" s="10" t="s">
        <v>710</v>
      </c>
      <c r="C17" s="10" t="s">
        <v>711</v>
      </c>
      <c r="F17" s="62"/>
    </row>
    <row r="18" spans="2:18" s="10" customFormat="1" ht="25.2" customHeight="1" x14ac:dyDescent="0.3">
      <c r="B18" s="10" t="s">
        <v>701</v>
      </c>
      <c r="C18" s="10" t="s">
        <v>1198</v>
      </c>
    </row>
    <row r="19" spans="2:18" s="10" customFormat="1" ht="30" customHeight="1" x14ac:dyDescent="0.3">
      <c r="B19" s="10" t="s">
        <v>715</v>
      </c>
      <c r="C19" s="73" t="s">
        <v>717</v>
      </c>
    </row>
    <row r="20" spans="2:18" s="10" customFormat="1" ht="25.2" customHeight="1" x14ac:dyDescent="0.3">
      <c r="C20" s="24" t="s">
        <v>716</v>
      </c>
    </row>
    <row r="21" spans="2:18" s="10" customFormat="1" ht="25.2" customHeight="1" x14ac:dyDescent="0.3">
      <c r="B21" s="10" t="s">
        <v>702</v>
      </c>
      <c r="C21" s="24">
        <v>30</v>
      </c>
    </row>
    <row r="22" spans="2:18" s="10" customFormat="1" ht="25.2" customHeight="1" x14ac:dyDescent="0.3">
      <c r="B22" s="10" t="s">
        <v>703</v>
      </c>
      <c r="C22" s="24">
        <v>3</v>
      </c>
    </row>
    <row r="23" spans="2:18" s="10" customFormat="1" ht="25.2" customHeight="1" x14ac:dyDescent="0.3">
      <c r="B23" s="10" t="s">
        <v>706</v>
      </c>
      <c r="C23" s="24" t="s">
        <v>705</v>
      </c>
    </row>
    <row r="24" spans="2:18" s="10" customFormat="1" ht="25.2" customHeight="1" x14ac:dyDescent="0.3">
      <c r="B24" s="13" t="s">
        <v>704</v>
      </c>
      <c r="C24" s="56" t="s">
        <v>705</v>
      </c>
      <c r="D24" s="10" t="s">
        <v>512</v>
      </c>
    </row>
    <row r="25" spans="2:18" ht="25.2" customHeight="1" x14ac:dyDescent="0.25"/>
    <row r="26" spans="2:18" ht="25.2" customHeight="1" x14ac:dyDescent="0.25">
      <c r="B26" s="112" t="s">
        <v>1232</v>
      </c>
      <c r="C26" s="77"/>
    </row>
    <row r="27" spans="2:18" s="10" customFormat="1" ht="25.2" customHeight="1" x14ac:dyDescent="0.3">
      <c r="B27" s="77" t="s">
        <v>517</v>
      </c>
      <c r="C27" s="77" t="s">
        <v>693</v>
      </c>
      <c r="D27" s="110"/>
      <c r="E27" s="110"/>
      <c r="F27" s="110"/>
      <c r="G27" s="110"/>
      <c r="H27" s="110"/>
      <c r="I27" s="110"/>
      <c r="J27" s="110"/>
      <c r="K27" s="110"/>
      <c r="L27" s="110"/>
      <c r="M27" s="110"/>
      <c r="N27" s="110"/>
      <c r="O27" s="110"/>
      <c r="P27" s="110"/>
      <c r="Q27" s="110"/>
      <c r="R27" s="110"/>
    </row>
    <row r="28" spans="2:18" s="10" customFormat="1" ht="25.2" customHeight="1" x14ac:dyDescent="0.3">
      <c r="B28" s="73" t="s">
        <v>695</v>
      </c>
      <c r="C28" s="73" t="s">
        <v>1233</v>
      </c>
      <c r="D28" s="110"/>
      <c r="E28" s="110"/>
      <c r="F28" s="110"/>
      <c r="G28" s="110"/>
      <c r="H28" s="110"/>
      <c r="I28" s="110"/>
      <c r="J28" s="110"/>
      <c r="K28" s="110"/>
      <c r="L28" s="110"/>
      <c r="M28" s="110"/>
      <c r="N28" s="110"/>
      <c r="O28" s="110"/>
      <c r="P28" s="110"/>
      <c r="Q28" s="110"/>
      <c r="R28" s="110"/>
    </row>
    <row r="29" spans="2:18" s="10" customFormat="1" ht="25.2" customHeight="1" x14ac:dyDescent="0.3">
      <c r="B29" s="10" t="s">
        <v>1234</v>
      </c>
      <c r="C29" s="10" t="s">
        <v>1235</v>
      </c>
    </row>
    <row r="30" spans="2:18" s="10" customFormat="1" ht="25.2" customHeight="1" x14ac:dyDescent="0.3">
      <c r="B30" s="10" t="s">
        <v>1236</v>
      </c>
      <c r="C30" s="136" t="s">
        <v>1340</v>
      </c>
    </row>
    <row r="31" spans="2:18" s="10" customFormat="1" ht="25.2" customHeight="1" x14ac:dyDescent="0.3">
      <c r="B31" s="10" t="s">
        <v>1238</v>
      </c>
      <c r="C31" s="10" t="s">
        <v>1242</v>
      </c>
    </row>
    <row r="32" spans="2:18" s="10" customFormat="1" ht="25.2" customHeight="1" x14ac:dyDescent="0.3">
      <c r="B32" s="10" t="s">
        <v>1239</v>
      </c>
      <c r="C32" s="10" t="s">
        <v>1243</v>
      </c>
    </row>
    <row r="33" spans="2:18" s="10" customFormat="1" ht="25.2" customHeight="1" x14ac:dyDescent="0.3">
      <c r="B33" s="10" t="s">
        <v>1241</v>
      </c>
      <c r="C33" s="10" t="s">
        <v>1244</v>
      </c>
    </row>
    <row r="34" spans="2:18" s="10" customFormat="1" ht="25.2" customHeight="1" x14ac:dyDescent="0.3">
      <c r="B34" s="10" t="s">
        <v>1240</v>
      </c>
      <c r="C34" s="10" t="s">
        <v>1245</v>
      </c>
    </row>
    <row r="35" spans="2:18" s="10" customFormat="1" ht="25.2" customHeight="1" x14ac:dyDescent="0.3">
      <c r="B35" s="10" t="s">
        <v>1248</v>
      </c>
      <c r="C35" s="10" t="s">
        <v>1244</v>
      </c>
    </row>
    <row r="36" spans="2:18" s="10" customFormat="1" ht="25.2" customHeight="1" x14ac:dyDescent="0.3">
      <c r="B36" s="10" t="s">
        <v>1249</v>
      </c>
      <c r="C36" s="10" t="s">
        <v>1246</v>
      </c>
    </row>
    <row r="37" spans="2:18" s="10" customFormat="1" ht="25.2" customHeight="1" x14ac:dyDescent="0.3">
      <c r="B37" s="10" t="s">
        <v>1250</v>
      </c>
      <c r="C37" s="10" t="s">
        <v>1244</v>
      </c>
    </row>
    <row r="38" spans="2:18" s="10" customFormat="1" ht="25.2" customHeight="1" x14ac:dyDescent="0.3">
      <c r="B38" s="10" t="s">
        <v>1251</v>
      </c>
      <c r="C38" s="10" t="s">
        <v>1247</v>
      </c>
    </row>
    <row r="39" spans="2:18" s="10" customFormat="1" ht="25.2" customHeight="1" x14ac:dyDescent="0.3">
      <c r="B39" s="10" t="s">
        <v>1252</v>
      </c>
      <c r="C39" s="10" t="s">
        <v>1244</v>
      </c>
    </row>
    <row r="40" spans="2:18" s="10" customFormat="1" ht="25.2" customHeight="1" x14ac:dyDescent="0.3">
      <c r="B40" s="10" t="s">
        <v>1253</v>
      </c>
      <c r="C40" s="10" t="s">
        <v>1256</v>
      </c>
    </row>
    <row r="41" spans="2:18" s="10" customFormat="1" ht="25.2" customHeight="1" x14ac:dyDescent="0.3">
      <c r="B41" s="10" t="s">
        <v>1757</v>
      </c>
      <c r="C41" s="10" t="s">
        <v>1257</v>
      </c>
    </row>
    <row r="42" spans="2:18" s="10" customFormat="1" ht="25.2" customHeight="1" x14ac:dyDescent="0.3">
      <c r="B42" s="13" t="s">
        <v>1254</v>
      </c>
      <c r="C42" s="13" t="s">
        <v>1255</v>
      </c>
    </row>
    <row r="43" spans="2:18" s="10" customFormat="1" ht="25.2" customHeight="1" x14ac:dyDescent="0.25">
      <c r="B43" s="1"/>
      <c r="C43" s="1"/>
    </row>
    <row r="44" spans="2:18" ht="25.2" customHeight="1" x14ac:dyDescent="0.25">
      <c r="B44" s="112" t="s">
        <v>718</v>
      </c>
      <c r="C44" s="77"/>
    </row>
    <row r="45" spans="2:18" s="10" customFormat="1" ht="25.2" customHeight="1" x14ac:dyDescent="0.3">
      <c r="B45" s="77" t="s">
        <v>517</v>
      </c>
      <c r="C45" s="77" t="s">
        <v>693</v>
      </c>
      <c r="D45" s="110"/>
      <c r="E45" s="110"/>
      <c r="F45" s="110"/>
      <c r="G45" s="110"/>
      <c r="H45" s="110"/>
      <c r="I45" s="110"/>
      <c r="J45" s="110"/>
      <c r="K45" s="110"/>
      <c r="L45" s="110"/>
      <c r="M45" s="110"/>
      <c r="N45" s="110"/>
      <c r="O45" s="110"/>
      <c r="P45" s="110"/>
      <c r="Q45" s="110"/>
      <c r="R45" s="110"/>
    </row>
    <row r="46" spans="2:18" s="10" customFormat="1" ht="25.2" customHeight="1" x14ac:dyDescent="0.3">
      <c r="B46" s="73" t="s">
        <v>695</v>
      </c>
      <c r="C46" s="73" t="s">
        <v>1972</v>
      </c>
      <c r="D46" s="110"/>
      <c r="E46" s="110"/>
      <c r="F46" s="110"/>
      <c r="G46" s="110"/>
      <c r="H46" s="110"/>
      <c r="I46" s="110"/>
      <c r="J46" s="110"/>
      <c r="K46" s="110"/>
      <c r="L46" s="110"/>
      <c r="M46" s="110"/>
      <c r="N46" s="110"/>
      <c r="O46" s="110"/>
      <c r="P46" s="110"/>
      <c r="Q46" s="110"/>
      <c r="R46" s="110"/>
    </row>
    <row r="47" spans="2:18" s="10" customFormat="1" ht="25.2" customHeight="1" x14ac:dyDescent="0.3">
      <c r="B47" s="73" t="s">
        <v>1259</v>
      </c>
      <c r="C47" s="73" t="s">
        <v>1262</v>
      </c>
      <c r="D47" s="110"/>
      <c r="E47" s="110"/>
      <c r="F47" s="110"/>
      <c r="G47" s="110"/>
      <c r="H47" s="110"/>
      <c r="I47" s="110"/>
      <c r="J47" s="110"/>
      <c r="K47" s="110"/>
      <c r="L47" s="110"/>
      <c r="M47" s="110"/>
      <c r="N47" s="110"/>
      <c r="O47" s="110"/>
      <c r="P47" s="110"/>
      <c r="Q47" s="110"/>
      <c r="R47" s="110"/>
    </row>
    <row r="48" spans="2:18" s="10" customFormat="1" ht="25.2" customHeight="1" x14ac:dyDescent="0.3">
      <c r="B48" s="10" t="s">
        <v>1260</v>
      </c>
      <c r="C48" s="10" t="s">
        <v>1261</v>
      </c>
      <c r="D48" s="110"/>
      <c r="E48" s="110"/>
      <c r="F48" s="110"/>
      <c r="G48" s="110"/>
      <c r="H48" s="110"/>
      <c r="I48" s="110"/>
      <c r="J48" s="110"/>
      <c r="K48" s="110"/>
      <c r="L48" s="110"/>
      <c r="M48" s="110"/>
      <c r="N48" s="110"/>
      <c r="O48" s="110"/>
      <c r="P48" s="110"/>
      <c r="Q48" s="110"/>
      <c r="R48" s="110"/>
    </row>
    <row r="49" spans="2:3" s="10" customFormat="1" ht="25.2" customHeight="1" x14ac:dyDescent="0.3">
      <c r="B49" s="10" t="s">
        <v>1238</v>
      </c>
      <c r="C49" s="10" t="s">
        <v>713</v>
      </c>
    </row>
    <row r="50" spans="2:3" s="10" customFormat="1" ht="25.2" customHeight="1" x14ac:dyDescent="0.3">
      <c r="B50" s="10" t="s">
        <v>1266</v>
      </c>
      <c r="C50" s="10" t="s">
        <v>1267</v>
      </c>
    </row>
    <row r="51" spans="2:3" s="10" customFormat="1" ht="25.2" customHeight="1" x14ac:dyDescent="0.3">
      <c r="B51" s="10" t="s">
        <v>1270</v>
      </c>
      <c r="C51" s="10" t="s">
        <v>1271</v>
      </c>
    </row>
    <row r="52" spans="2:3" s="10" customFormat="1" ht="25.2" customHeight="1" x14ac:dyDescent="0.3">
      <c r="B52" s="10" t="s">
        <v>1268</v>
      </c>
      <c r="C52" s="10" t="s">
        <v>1269</v>
      </c>
    </row>
    <row r="53" spans="2:3" s="10" customFormat="1" ht="25.2" customHeight="1" x14ac:dyDescent="0.3">
      <c r="B53" s="10" t="s">
        <v>1306</v>
      </c>
      <c r="C53" s="10" t="s">
        <v>1263</v>
      </c>
    </row>
    <row r="54" spans="2:3" s="10" customFormat="1" ht="25.2" customHeight="1" x14ac:dyDescent="0.3">
      <c r="B54" s="10" t="s">
        <v>1307</v>
      </c>
      <c r="C54" s="10" t="s">
        <v>1517</v>
      </c>
    </row>
    <row r="55" spans="2:3" s="10" customFormat="1" ht="25.2" customHeight="1" x14ac:dyDescent="0.3">
      <c r="B55" s="10" t="s">
        <v>1308</v>
      </c>
      <c r="C55" s="10" t="s">
        <v>1516</v>
      </c>
    </row>
    <row r="56" spans="2:3" s="10" customFormat="1" ht="25.2" customHeight="1" x14ac:dyDescent="0.3">
      <c r="B56" s="10" t="s">
        <v>1518</v>
      </c>
      <c r="C56" s="10" t="s">
        <v>1515</v>
      </c>
    </row>
    <row r="57" spans="2:3" s="10" customFormat="1" ht="25.2" customHeight="1" x14ac:dyDescent="0.3">
      <c r="B57" s="13" t="s">
        <v>1264</v>
      </c>
      <c r="C57" s="13" t="s">
        <v>1265</v>
      </c>
    </row>
    <row r="58" spans="2:3" s="10" customFormat="1" ht="25.2" customHeight="1" x14ac:dyDescent="0.25">
      <c r="B58" s="1"/>
      <c r="C58" s="1"/>
    </row>
    <row r="59" spans="2:3" ht="25.2" customHeight="1" x14ac:dyDescent="0.25">
      <c r="B59" s="112" t="s">
        <v>1272</v>
      </c>
      <c r="C59" s="77"/>
    </row>
    <row r="60" spans="2:3" ht="25.2" customHeight="1" x14ac:dyDescent="0.25">
      <c r="B60" s="77" t="s">
        <v>517</v>
      </c>
      <c r="C60" s="77" t="s">
        <v>693</v>
      </c>
    </row>
    <row r="61" spans="2:3" ht="25.2" customHeight="1" x14ac:dyDescent="0.25">
      <c r="B61" s="73" t="s">
        <v>695</v>
      </c>
      <c r="C61" s="73" t="s">
        <v>1258</v>
      </c>
    </row>
    <row r="62" spans="2:3" ht="25.2" customHeight="1" x14ac:dyDescent="0.25">
      <c r="B62" s="10" t="s">
        <v>697</v>
      </c>
      <c r="C62" s="10" t="s">
        <v>713</v>
      </c>
    </row>
    <row r="63" spans="2:3" ht="25.2" customHeight="1" x14ac:dyDescent="0.25">
      <c r="B63" s="10" t="s">
        <v>698</v>
      </c>
      <c r="C63" s="10" t="s">
        <v>712</v>
      </c>
    </row>
    <row r="64" spans="2:3" ht="25.2" customHeight="1" x14ac:dyDescent="0.25">
      <c r="B64" s="10" t="s">
        <v>714</v>
      </c>
      <c r="C64" s="10" t="s">
        <v>1226</v>
      </c>
    </row>
    <row r="65" spans="2:3" ht="25.2" customHeight="1" x14ac:dyDescent="0.25">
      <c r="B65" s="10"/>
      <c r="C65" s="10" t="s">
        <v>1227</v>
      </c>
    </row>
    <row r="66" spans="2:3" ht="25.2" customHeight="1" x14ac:dyDescent="0.25">
      <c r="B66" s="10" t="s">
        <v>699</v>
      </c>
      <c r="C66" s="10" t="s">
        <v>1228</v>
      </c>
    </row>
    <row r="67" spans="2:3" ht="25.2" customHeight="1" x14ac:dyDescent="0.25">
      <c r="B67" s="10" t="s">
        <v>700</v>
      </c>
      <c r="C67" s="10" t="s">
        <v>1229</v>
      </c>
    </row>
    <row r="68" spans="2:3" ht="25.2" customHeight="1" x14ac:dyDescent="0.25">
      <c r="B68" s="10" t="s">
        <v>707</v>
      </c>
      <c r="C68" s="10" t="s">
        <v>1291</v>
      </c>
    </row>
    <row r="69" spans="2:3" ht="25.2" customHeight="1" x14ac:dyDescent="0.25">
      <c r="B69" s="10" t="s">
        <v>708</v>
      </c>
      <c r="C69" s="10" t="s">
        <v>1231</v>
      </c>
    </row>
    <row r="70" spans="2:3" ht="25.2" customHeight="1" x14ac:dyDescent="0.25">
      <c r="B70" s="10" t="s">
        <v>709</v>
      </c>
      <c r="C70" s="10" t="s">
        <v>1237</v>
      </c>
    </row>
    <row r="71" spans="2:3" ht="25.2" customHeight="1" x14ac:dyDescent="0.25">
      <c r="B71" s="10" t="s">
        <v>1197</v>
      </c>
      <c r="C71" s="24" t="s">
        <v>1279</v>
      </c>
    </row>
    <row r="72" spans="2:3" ht="25.2" customHeight="1" x14ac:dyDescent="0.25">
      <c r="B72" s="10" t="s">
        <v>710</v>
      </c>
      <c r="C72" s="10" t="s">
        <v>711</v>
      </c>
    </row>
    <row r="73" spans="2:3" ht="25.2" customHeight="1" x14ac:dyDescent="0.25">
      <c r="B73" s="10" t="s">
        <v>701</v>
      </c>
      <c r="C73" s="10" t="s">
        <v>1275</v>
      </c>
    </row>
    <row r="74" spans="2:3" ht="25.2" customHeight="1" x14ac:dyDescent="0.25">
      <c r="B74" s="10" t="s">
        <v>1273</v>
      </c>
      <c r="C74" s="73" t="s">
        <v>1274</v>
      </c>
    </row>
    <row r="75" spans="2:3" ht="25.2" customHeight="1" x14ac:dyDescent="0.25">
      <c r="B75" s="10" t="s">
        <v>1276</v>
      </c>
      <c r="C75" s="24" t="s">
        <v>1290</v>
      </c>
    </row>
    <row r="76" spans="2:3" ht="25.2" customHeight="1" x14ac:dyDescent="0.25">
      <c r="B76" s="10" t="s">
        <v>1277</v>
      </c>
      <c r="C76" s="24" t="s">
        <v>1278</v>
      </c>
    </row>
    <row r="77" spans="2:3" ht="25.2" customHeight="1" x14ac:dyDescent="0.25">
      <c r="B77" s="10" t="s">
        <v>1280</v>
      </c>
      <c r="C77" s="24" t="s">
        <v>1281</v>
      </c>
    </row>
    <row r="78" spans="2:3" ht="25.2" customHeight="1" x14ac:dyDescent="0.25">
      <c r="B78" s="10" t="s">
        <v>1282</v>
      </c>
      <c r="C78" s="24" t="s">
        <v>1283</v>
      </c>
    </row>
    <row r="79" spans="2:3" ht="25.2" customHeight="1" x14ac:dyDescent="0.25">
      <c r="B79" s="10" t="s">
        <v>1284</v>
      </c>
      <c r="C79" s="10" t="s">
        <v>1298</v>
      </c>
    </row>
    <row r="80" spans="2:3" ht="25.2" customHeight="1" x14ac:dyDescent="0.25">
      <c r="B80" s="10" t="s">
        <v>1289</v>
      </c>
      <c r="C80" s="10" t="s">
        <v>1341</v>
      </c>
    </row>
    <row r="81" spans="2:3" ht="25.2" customHeight="1" x14ac:dyDescent="0.25">
      <c r="B81" s="10" t="s">
        <v>1286</v>
      </c>
      <c r="C81" s="10" t="s">
        <v>1304</v>
      </c>
    </row>
    <row r="82" spans="2:3" ht="25.2" customHeight="1" x14ac:dyDescent="0.25">
      <c r="B82" s="10" t="s">
        <v>1444</v>
      </c>
      <c r="C82" s="10" t="s">
        <v>1445</v>
      </c>
    </row>
    <row r="83" spans="2:3" ht="25.2" customHeight="1" x14ac:dyDescent="0.25">
      <c r="B83" s="10" t="s">
        <v>1287</v>
      </c>
      <c r="C83" s="10" t="s">
        <v>1304</v>
      </c>
    </row>
    <row r="84" spans="2:3" ht="25.2" customHeight="1" x14ac:dyDescent="0.25">
      <c r="B84" s="10" t="s">
        <v>1292</v>
      </c>
      <c r="C84" s="10" t="s">
        <v>1293</v>
      </c>
    </row>
    <row r="85" spans="2:3" ht="25.2" customHeight="1" x14ac:dyDescent="0.25">
      <c r="B85" s="10" t="s">
        <v>1342</v>
      </c>
      <c r="C85" s="10" t="s">
        <v>1343</v>
      </c>
    </row>
    <row r="86" spans="2:3" ht="25.2" customHeight="1" x14ac:dyDescent="0.25">
      <c r="B86" s="10" t="s">
        <v>1294</v>
      </c>
      <c r="C86" s="10" t="s">
        <v>1297</v>
      </c>
    </row>
    <row r="87" spans="2:3" ht="25.2" customHeight="1" x14ac:dyDescent="0.25">
      <c r="B87" s="10" t="s">
        <v>1295</v>
      </c>
      <c r="C87" s="10" t="s">
        <v>1296</v>
      </c>
    </row>
    <row r="88" spans="2:3" ht="25.2" customHeight="1" x14ac:dyDescent="0.25">
      <c r="B88" s="13" t="s">
        <v>1288</v>
      </c>
      <c r="C88" s="13" t="s">
        <v>1339</v>
      </c>
    </row>
    <row r="89" spans="2:3" ht="25.2" customHeight="1" x14ac:dyDescent="0.25"/>
    <row r="90" spans="2:3" ht="25.2" customHeight="1" x14ac:dyDescent="0.25">
      <c r="B90" s="112" t="s">
        <v>1299</v>
      </c>
      <c r="C90" s="77"/>
    </row>
    <row r="91" spans="2:3" ht="25.2" customHeight="1" x14ac:dyDescent="0.25">
      <c r="B91" s="77" t="s">
        <v>517</v>
      </c>
      <c r="C91" s="77" t="s">
        <v>693</v>
      </c>
    </row>
    <row r="92" spans="2:3" ht="25.2" customHeight="1" x14ac:dyDescent="0.25">
      <c r="B92" s="73" t="s">
        <v>695</v>
      </c>
      <c r="C92" s="73" t="s">
        <v>1258</v>
      </c>
    </row>
    <row r="93" spans="2:3" ht="25.2" customHeight="1" x14ac:dyDescent="0.25">
      <c r="B93" s="10" t="s">
        <v>697</v>
      </c>
      <c r="C93" s="10" t="s">
        <v>713</v>
      </c>
    </row>
    <row r="94" spans="2:3" ht="25.2" customHeight="1" x14ac:dyDescent="0.25">
      <c r="B94" s="10" t="s">
        <v>698</v>
      </c>
      <c r="C94" s="10" t="s">
        <v>712</v>
      </c>
    </row>
    <row r="95" spans="2:3" ht="25.2" customHeight="1" x14ac:dyDescent="0.25">
      <c r="B95" s="10" t="s">
        <v>714</v>
      </c>
      <c r="C95" s="10" t="s">
        <v>1226</v>
      </c>
    </row>
    <row r="96" spans="2:3" ht="25.2" customHeight="1" x14ac:dyDescent="0.25">
      <c r="B96" s="10"/>
      <c r="C96" s="10" t="s">
        <v>1227</v>
      </c>
    </row>
    <row r="97" spans="2:3" ht="25.2" customHeight="1" x14ac:dyDescent="0.25">
      <c r="B97" s="10" t="s">
        <v>699</v>
      </c>
      <c r="C97" s="10" t="s">
        <v>1228</v>
      </c>
    </row>
    <row r="98" spans="2:3" ht="25.2" customHeight="1" x14ac:dyDescent="0.25">
      <c r="B98" s="10" t="s">
        <v>700</v>
      </c>
      <c r="C98" s="10" t="s">
        <v>1229</v>
      </c>
    </row>
    <row r="99" spans="2:3" ht="25.2" customHeight="1" x14ac:dyDescent="0.25">
      <c r="B99" s="10" t="s">
        <v>707</v>
      </c>
      <c r="C99" s="10" t="s">
        <v>1291</v>
      </c>
    </row>
    <row r="100" spans="2:3" ht="25.2" customHeight="1" x14ac:dyDescent="0.25">
      <c r="B100" s="10" t="s">
        <v>708</v>
      </c>
      <c r="C100" s="10" t="s">
        <v>1231</v>
      </c>
    </row>
    <row r="101" spans="2:3" ht="25.2" customHeight="1" x14ac:dyDescent="0.25">
      <c r="B101" s="10" t="s">
        <v>709</v>
      </c>
      <c r="C101" s="10" t="s">
        <v>1237</v>
      </c>
    </row>
    <row r="102" spans="2:3" ht="25.2" customHeight="1" x14ac:dyDescent="0.25">
      <c r="B102" s="10" t="s">
        <v>1197</v>
      </c>
      <c r="C102" s="24" t="s">
        <v>1300</v>
      </c>
    </row>
    <row r="103" spans="2:3" ht="25.2" customHeight="1" x14ac:dyDescent="0.25">
      <c r="B103" s="10" t="s">
        <v>1273</v>
      </c>
      <c r="C103" s="73" t="s">
        <v>1274</v>
      </c>
    </row>
    <row r="104" spans="2:3" ht="25.2" customHeight="1" x14ac:dyDescent="0.25">
      <c r="B104" s="10" t="s">
        <v>1276</v>
      </c>
      <c r="C104" s="24" t="s">
        <v>1290</v>
      </c>
    </row>
    <row r="105" spans="2:3" ht="25.2" customHeight="1" x14ac:dyDescent="0.25">
      <c r="B105" s="10" t="s">
        <v>1277</v>
      </c>
      <c r="C105" s="24" t="s">
        <v>1301</v>
      </c>
    </row>
    <row r="106" spans="2:3" ht="25.2" customHeight="1" x14ac:dyDescent="0.25">
      <c r="B106" s="10" t="s">
        <v>1280</v>
      </c>
      <c r="C106" s="24" t="s">
        <v>1281</v>
      </c>
    </row>
    <row r="107" spans="2:3" ht="25.2" customHeight="1" x14ac:dyDescent="0.25">
      <c r="B107" s="10" t="s">
        <v>1282</v>
      </c>
      <c r="C107" s="24" t="s">
        <v>1283</v>
      </c>
    </row>
    <row r="108" spans="2:3" ht="25.2" customHeight="1" x14ac:dyDescent="0.25">
      <c r="B108" s="10" t="s">
        <v>1284</v>
      </c>
      <c r="C108" s="10" t="s">
        <v>1298</v>
      </c>
    </row>
    <row r="109" spans="2:3" ht="25.2" customHeight="1" x14ac:dyDescent="0.25">
      <c r="B109" s="10" t="s">
        <v>1289</v>
      </c>
      <c r="C109" s="10" t="s">
        <v>1341</v>
      </c>
    </row>
    <row r="110" spans="2:3" ht="25.2" customHeight="1" x14ac:dyDescent="0.25">
      <c r="B110" s="10" t="s">
        <v>551</v>
      </c>
      <c r="C110" s="10" t="s">
        <v>1303</v>
      </c>
    </row>
    <row r="111" spans="2:3" ht="25.2" customHeight="1" x14ac:dyDescent="0.25">
      <c r="B111" s="10" t="s">
        <v>1285</v>
      </c>
      <c r="C111" s="10" t="s">
        <v>1305</v>
      </c>
    </row>
    <row r="112" spans="2:3" ht="25.2" customHeight="1" x14ac:dyDescent="0.25">
      <c r="B112" s="10" t="s">
        <v>1444</v>
      </c>
      <c r="C112" s="10" t="s">
        <v>1445</v>
      </c>
    </row>
    <row r="113" spans="2:3" ht="25.2" customHeight="1" x14ac:dyDescent="0.25">
      <c r="B113" s="10" t="s">
        <v>1287</v>
      </c>
      <c r="C113" s="10" t="s">
        <v>1305</v>
      </c>
    </row>
    <row r="114" spans="2:3" ht="25.2" customHeight="1" x14ac:dyDescent="0.25">
      <c r="B114" s="10" t="s">
        <v>1292</v>
      </c>
      <c r="C114" s="10" t="s">
        <v>1293</v>
      </c>
    </row>
    <row r="115" spans="2:3" ht="25.2" customHeight="1" x14ac:dyDescent="0.25">
      <c r="B115" s="10" t="s">
        <v>1342</v>
      </c>
      <c r="C115" s="10" t="s">
        <v>1438</v>
      </c>
    </row>
    <row r="116" spans="2:3" ht="25.2" customHeight="1" x14ac:dyDescent="0.25">
      <c r="B116" s="10" t="s">
        <v>1294</v>
      </c>
      <c r="C116" s="10" t="s">
        <v>1302</v>
      </c>
    </row>
    <row r="117" spans="2:3" ht="25.2" customHeight="1" x14ac:dyDescent="0.25">
      <c r="B117" s="10" t="s">
        <v>1295</v>
      </c>
      <c r="C117" s="10" t="s">
        <v>1296</v>
      </c>
    </row>
    <row r="118" spans="2:3" ht="25.2" customHeight="1" x14ac:dyDescent="0.25">
      <c r="B118" s="13" t="s">
        <v>1288</v>
      </c>
      <c r="C118" s="13" t="s">
        <v>1339</v>
      </c>
    </row>
    <row r="119" spans="2:3" ht="25.2" customHeight="1" x14ac:dyDescent="0.25"/>
    <row r="120" spans="2:3" ht="25.2" customHeight="1" x14ac:dyDescent="0.25"/>
    <row r="121" spans="2:3" ht="25.2" customHeight="1" x14ac:dyDescent="0.25"/>
    <row r="122" spans="2:3" ht="25.2" customHeight="1" x14ac:dyDescent="0.25"/>
    <row r="123" spans="2:3" ht="25.2" customHeight="1" x14ac:dyDescent="0.25"/>
    <row r="124" spans="2:3" ht="25.2" customHeight="1" x14ac:dyDescent="0.25"/>
    <row r="125" spans="2:3" ht="25.2" customHeight="1" x14ac:dyDescent="0.25"/>
    <row r="126" spans="2:3" ht="25.2" customHeight="1" x14ac:dyDescent="0.25"/>
    <row r="127" spans="2:3" ht="25.2" customHeight="1" x14ac:dyDescent="0.25"/>
    <row r="128" spans="2:3" ht="25.2" customHeight="1" x14ac:dyDescent="0.25"/>
    <row r="129" ht="25.2" customHeight="1" x14ac:dyDescent="0.25"/>
    <row r="130" ht="25.2" customHeight="1" x14ac:dyDescent="0.25"/>
    <row r="131" ht="25.2" customHeight="1" x14ac:dyDescent="0.25"/>
    <row r="132" ht="25.2" customHeight="1" x14ac:dyDescent="0.25"/>
    <row r="133" ht="25.2" customHeight="1" x14ac:dyDescent="0.25"/>
    <row r="134" ht="25.2" customHeight="1" x14ac:dyDescent="0.25"/>
    <row r="135" ht="25.2" customHeight="1" x14ac:dyDescent="0.25"/>
    <row r="136" ht="25.2" customHeight="1" x14ac:dyDescent="0.25"/>
    <row r="137" ht="25.2" customHeight="1" x14ac:dyDescent="0.25"/>
    <row r="138" ht="25.2" customHeight="1" x14ac:dyDescent="0.25"/>
    <row r="139" ht="25.2" customHeight="1" x14ac:dyDescent="0.25"/>
    <row r="140" ht="25.2" customHeight="1" x14ac:dyDescent="0.25"/>
    <row r="141" ht="25.2" customHeight="1" x14ac:dyDescent="0.25"/>
    <row r="142" ht="25.2" customHeight="1" x14ac:dyDescent="0.25"/>
    <row r="143" ht="25.2" customHeight="1" x14ac:dyDescent="0.25"/>
    <row r="144" ht="25.2" customHeight="1" x14ac:dyDescent="0.25"/>
    <row r="145" ht="25.2" customHeight="1" x14ac:dyDescent="0.25"/>
    <row r="146" ht="25.2" customHeight="1" x14ac:dyDescent="0.25"/>
    <row r="147" ht="25.2" customHeight="1" x14ac:dyDescent="0.25"/>
    <row r="148" ht="25.2" customHeight="1" x14ac:dyDescent="0.25"/>
    <row r="149" ht="25.2" customHeight="1" x14ac:dyDescent="0.25"/>
    <row r="150" ht="25.2" customHeight="1" x14ac:dyDescent="0.25"/>
    <row r="151" ht="25.2" customHeight="1" x14ac:dyDescent="0.25"/>
    <row r="152" ht="25.2" customHeight="1" x14ac:dyDescent="0.25"/>
    <row r="153" ht="25.2" customHeight="1" x14ac:dyDescent="0.25"/>
    <row r="154" ht="25.2" customHeight="1" x14ac:dyDescent="0.25"/>
    <row r="155" ht="25.2" customHeight="1" x14ac:dyDescent="0.25"/>
    <row r="156" ht="25.2" customHeight="1" x14ac:dyDescent="0.25"/>
    <row r="157" ht="25.2" customHeight="1" x14ac:dyDescent="0.25"/>
    <row r="158" ht="25.2" customHeight="1" x14ac:dyDescent="0.25"/>
    <row r="159" ht="25.2" customHeight="1" x14ac:dyDescent="0.25"/>
    <row r="160" ht="25.2" customHeight="1" x14ac:dyDescent="0.25"/>
    <row r="161" ht="25.2" customHeight="1" x14ac:dyDescent="0.25"/>
    <row r="162" ht="25.2" customHeight="1" x14ac:dyDescent="0.25"/>
    <row r="163" ht="25.2" customHeight="1" x14ac:dyDescent="0.25"/>
    <row r="164" ht="25.2" customHeight="1" x14ac:dyDescent="0.25"/>
    <row r="165" ht="25.2" customHeight="1" x14ac:dyDescent="0.25"/>
    <row r="166" ht="25.2" customHeight="1" x14ac:dyDescent="0.25"/>
    <row r="167" ht="25.2" customHeight="1" x14ac:dyDescent="0.25"/>
    <row r="168" ht="25.2" customHeight="1" x14ac:dyDescent="0.25"/>
    <row r="169" ht="25.2" customHeight="1" x14ac:dyDescent="0.25"/>
    <row r="170" ht="25.2" customHeight="1" x14ac:dyDescent="0.25"/>
    <row r="171" ht="25.2" customHeight="1" x14ac:dyDescent="0.25"/>
    <row r="172" ht="25.2" customHeight="1" x14ac:dyDescent="0.25"/>
    <row r="173" ht="25.2" customHeight="1" x14ac:dyDescent="0.25"/>
    <row r="174" ht="25.2" customHeight="1" x14ac:dyDescent="0.25"/>
    <row r="175" ht="25.2" customHeight="1" x14ac:dyDescent="0.25"/>
    <row r="176" ht="25.2" customHeight="1" x14ac:dyDescent="0.25"/>
    <row r="177" ht="25.2" customHeight="1" x14ac:dyDescent="0.25"/>
    <row r="178" ht="25.2" customHeight="1" x14ac:dyDescent="0.25"/>
    <row r="179" ht="25.2" customHeight="1" x14ac:dyDescent="0.25"/>
    <row r="180" ht="25.2" customHeight="1" x14ac:dyDescent="0.25"/>
    <row r="181" ht="25.2" customHeight="1" x14ac:dyDescent="0.25"/>
    <row r="182" ht="25.2" customHeight="1" x14ac:dyDescent="0.25"/>
    <row r="183" ht="25.2" customHeight="1" x14ac:dyDescent="0.25"/>
    <row r="184" ht="25.2" customHeight="1" x14ac:dyDescent="0.25"/>
    <row r="185" ht="25.2" customHeight="1" x14ac:dyDescent="0.25"/>
    <row r="186" ht="25.2" customHeight="1" x14ac:dyDescent="0.25"/>
    <row r="187" ht="25.2" customHeight="1" x14ac:dyDescent="0.25"/>
    <row r="188" ht="25.2" customHeight="1" x14ac:dyDescent="0.25"/>
    <row r="189" ht="25.2" customHeight="1" x14ac:dyDescent="0.25"/>
    <row r="190" ht="25.2" customHeight="1" x14ac:dyDescent="0.25"/>
    <row r="191" ht="25.2" customHeight="1" x14ac:dyDescent="0.25"/>
    <row r="192" ht="25.2" customHeight="1" x14ac:dyDescent="0.25"/>
    <row r="193" ht="25.2" customHeight="1" x14ac:dyDescent="0.25"/>
    <row r="194" ht="25.2" customHeight="1" x14ac:dyDescent="0.25"/>
    <row r="195" ht="25.2" customHeight="1" x14ac:dyDescent="0.25"/>
    <row r="196" ht="25.2" customHeight="1" x14ac:dyDescent="0.25"/>
    <row r="197" ht="25.2" customHeight="1" x14ac:dyDescent="0.25"/>
    <row r="198" ht="25.2" customHeight="1" x14ac:dyDescent="0.25"/>
    <row r="199" ht="25.2" customHeight="1" x14ac:dyDescent="0.25"/>
    <row r="200" ht="25.2" customHeight="1" x14ac:dyDescent="0.25"/>
    <row r="201" ht="25.2" customHeight="1" x14ac:dyDescent="0.25"/>
    <row r="202" ht="25.2" customHeight="1" x14ac:dyDescent="0.25"/>
    <row r="203" ht="25.2" customHeight="1" x14ac:dyDescent="0.25"/>
    <row r="204" ht="25.2" customHeight="1" x14ac:dyDescent="0.25"/>
    <row r="205" ht="25.2" customHeight="1" x14ac:dyDescent="0.25"/>
    <row r="206" ht="25.2" customHeight="1" x14ac:dyDescent="0.25"/>
    <row r="207" ht="25.2" customHeight="1" x14ac:dyDescent="0.25"/>
    <row r="208" ht="25.2" customHeight="1" x14ac:dyDescent="0.25"/>
    <row r="209" ht="25.2" customHeight="1" x14ac:dyDescent="0.25"/>
    <row r="210" ht="25.2" customHeight="1" x14ac:dyDescent="0.25"/>
    <row r="211" ht="25.2" customHeight="1" x14ac:dyDescent="0.25"/>
    <row r="212" ht="25.2" customHeight="1" x14ac:dyDescent="0.25"/>
    <row r="213" ht="25.2" customHeight="1" x14ac:dyDescent="0.25"/>
    <row r="214" ht="25.2" customHeight="1" x14ac:dyDescent="0.25"/>
    <row r="215" ht="25.2" customHeight="1" x14ac:dyDescent="0.25"/>
    <row r="216" ht="25.2" customHeight="1" x14ac:dyDescent="0.25"/>
    <row r="217" ht="25.2" customHeight="1" x14ac:dyDescent="0.25"/>
    <row r="218" ht="25.2" customHeight="1" x14ac:dyDescent="0.25"/>
    <row r="219" ht="25.2" customHeight="1" x14ac:dyDescent="0.25"/>
    <row r="220" ht="25.2" customHeight="1" x14ac:dyDescent="0.25"/>
    <row r="221" ht="25.2" customHeight="1" x14ac:dyDescent="0.25"/>
    <row r="222" ht="25.2" customHeight="1" x14ac:dyDescent="0.25"/>
    <row r="223" ht="25.2" customHeight="1" x14ac:dyDescent="0.25"/>
    <row r="224" ht="25.2" customHeight="1" x14ac:dyDescent="0.25"/>
    <row r="225" ht="25.2" customHeight="1" x14ac:dyDescent="0.25"/>
    <row r="226" ht="25.2" customHeight="1" x14ac:dyDescent="0.25"/>
    <row r="227" ht="25.2" customHeight="1" x14ac:dyDescent="0.25"/>
    <row r="228" ht="25.2" customHeight="1" x14ac:dyDescent="0.25"/>
    <row r="229" ht="25.2" customHeight="1" x14ac:dyDescent="0.25"/>
    <row r="230" ht="25.2" customHeight="1" x14ac:dyDescent="0.25"/>
    <row r="231" ht="25.2" customHeight="1" x14ac:dyDescent="0.25"/>
    <row r="232" ht="25.2" customHeight="1" x14ac:dyDescent="0.25"/>
    <row r="233" ht="25.2" customHeight="1" x14ac:dyDescent="0.25"/>
    <row r="234" ht="25.2" customHeight="1" x14ac:dyDescent="0.25"/>
    <row r="235" ht="25.2" customHeight="1" x14ac:dyDescent="0.25"/>
    <row r="236" ht="25.2" customHeight="1" x14ac:dyDescent="0.25"/>
    <row r="237" ht="25.2" customHeight="1" x14ac:dyDescent="0.25"/>
    <row r="238" ht="25.2" customHeight="1" x14ac:dyDescent="0.25"/>
    <row r="239" ht="25.2" customHeight="1" x14ac:dyDescent="0.25"/>
    <row r="240" ht="25.2" customHeight="1" x14ac:dyDescent="0.25"/>
    <row r="241" ht="25.2" customHeight="1" x14ac:dyDescent="0.25"/>
    <row r="242" ht="25.2" customHeight="1" x14ac:dyDescent="0.25"/>
    <row r="243" ht="25.2" customHeight="1" x14ac:dyDescent="0.25"/>
    <row r="244" ht="25.2" customHeight="1" x14ac:dyDescent="0.25"/>
    <row r="245" ht="25.2" customHeight="1" x14ac:dyDescent="0.25"/>
  </sheetData>
  <mergeCells count="1">
    <mergeCell ref="B2:C3"/>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2904A-DACD-44CA-B6DB-4919A7636185}">
  <sheetPr codeName="Sheet7"/>
  <dimension ref="B1:U28"/>
  <sheetViews>
    <sheetView zoomScale="85" zoomScaleNormal="85" workbookViewId="0">
      <pane ySplit="3" topLeftCell="A4" activePane="bottomLeft" state="frozen"/>
      <selection activeCell="C4" sqref="C4:U4"/>
      <selection pane="bottomLeft" activeCell="Q18" sqref="Q18"/>
    </sheetView>
  </sheetViews>
  <sheetFormatPr defaultColWidth="9.109375" defaultRowHeight="25.2" customHeight="1" x14ac:dyDescent="0.25"/>
  <cols>
    <col min="1" max="1" width="6.33203125" style="1" customWidth="1"/>
    <col min="2" max="2" width="32" style="1" customWidth="1"/>
    <col min="3" max="4" width="9.5546875" style="5" bestFit="1" customWidth="1"/>
    <col min="5" max="5" width="9.44140625" style="5" bestFit="1" customWidth="1"/>
    <col min="6" max="7" width="10.5546875" style="5" bestFit="1" customWidth="1"/>
    <col min="8" max="8" width="9.44140625" style="5" bestFit="1" customWidth="1"/>
    <col min="9" max="9" width="9.5546875" style="5" bestFit="1" customWidth="1"/>
    <col min="10" max="17" width="9.44140625" style="5" bestFit="1" customWidth="1"/>
    <col min="18" max="18" width="9.33203125" style="5" bestFit="1" customWidth="1"/>
    <col min="19" max="16384" width="9.109375" style="1"/>
  </cols>
  <sheetData>
    <row r="1" spans="2:21" ht="13.2" x14ac:dyDescent="0.25"/>
    <row r="2" spans="2:21" ht="53.25" customHeight="1" thickBot="1" x14ac:dyDescent="0.3">
      <c r="B2" s="159" t="s">
        <v>1795</v>
      </c>
      <c r="C2" s="159"/>
      <c r="D2" s="159"/>
      <c r="E2" s="159"/>
      <c r="F2" s="159"/>
      <c r="G2" s="159"/>
      <c r="H2" s="159"/>
      <c r="I2" s="159"/>
      <c r="J2" s="159"/>
      <c r="K2" s="159"/>
      <c r="L2" s="159"/>
      <c r="M2" s="159"/>
      <c r="N2" s="159"/>
      <c r="O2" s="159"/>
      <c r="P2" s="159"/>
      <c r="Q2" s="159"/>
      <c r="R2" s="159"/>
      <c r="S2" s="99"/>
      <c r="T2" s="99"/>
      <c r="U2" s="99"/>
    </row>
    <row r="3" spans="2:21" ht="25.2" customHeight="1" x14ac:dyDescent="0.25">
      <c r="B3" s="84" t="s">
        <v>0</v>
      </c>
      <c r="C3" s="7" t="s">
        <v>555</v>
      </c>
      <c r="D3" s="7" t="s">
        <v>556</v>
      </c>
      <c r="E3" s="7" t="s">
        <v>557</v>
      </c>
      <c r="F3" s="7" t="s">
        <v>558</v>
      </c>
      <c r="G3" s="7" t="s">
        <v>498</v>
      </c>
      <c r="H3" s="7" t="s">
        <v>502</v>
      </c>
      <c r="I3" s="7" t="s">
        <v>559</v>
      </c>
      <c r="J3" s="7" t="s">
        <v>503</v>
      </c>
      <c r="K3" s="7" t="s">
        <v>560</v>
      </c>
      <c r="L3" s="7" t="s">
        <v>504</v>
      </c>
      <c r="M3" s="7" t="s">
        <v>505</v>
      </c>
      <c r="N3" s="7" t="s">
        <v>499</v>
      </c>
      <c r="O3" s="7" t="s">
        <v>500</v>
      </c>
      <c r="P3" s="7" t="s">
        <v>561</v>
      </c>
      <c r="Q3" s="7" t="s">
        <v>562</v>
      </c>
      <c r="R3" s="7" t="s">
        <v>7</v>
      </c>
    </row>
    <row r="4" spans="2:21" ht="25.2" customHeight="1" x14ac:dyDescent="0.25">
      <c r="B4" s="10" t="s">
        <v>638</v>
      </c>
      <c r="C4" s="54">
        <v>7.960024422474727</v>
      </c>
      <c r="D4" s="54">
        <v>411.40382116451883</v>
      </c>
      <c r="E4" s="54">
        <v>9.5209518607547103</v>
      </c>
      <c r="F4" s="54">
        <v>1907.6042789637158</v>
      </c>
      <c r="G4" s="54">
        <v>145.30688551129097</v>
      </c>
      <c r="H4" s="54">
        <v>3.3544223963351003</v>
      </c>
      <c r="I4" s="54">
        <v>38.615814718062772</v>
      </c>
      <c r="J4" s="54">
        <v>0.75640307373183646</v>
      </c>
      <c r="K4" s="54" t="s">
        <v>39</v>
      </c>
      <c r="L4" s="54">
        <v>9.9956640128917543E-2</v>
      </c>
      <c r="M4" s="54">
        <v>4.215451040293714</v>
      </c>
      <c r="N4" s="54">
        <v>0</v>
      </c>
      <c r="O4" s="54">
        <v>0</v>
      </c>
      <c r="P4" s="54">
        <v>0.19643889808965614</v>
      </c>
      <c r="Q4" s="54">
        <v>5.4420997767990406E-3</v>
      </c>
      <c r="R4" s="54">
        <v>5.0451361439782234</v>
      </c>
    </row>
    <row r="5" spans="2:21" ht="25.2" customHeight="1" x14ac:dyDescent="0.25">
      <c r="B5" s="10" t="s">
        <v>513</v>
      </c>
      <c r="C5" s="54">
        <v>24.090236461382435</v>
      </c>
      <c r="D5" s="54">
        <v>35.858214597006288</v>
      </c>
      <c r="E5" s="54">
        <v>0.2750366033026394</v>
      </c>
      <c r="F5" s="54">
        <v>136.25684859920889</v>
      </c>
      <c r="G5" s="54">
        <v>11.889043730033386</v>
      </c>
      <c r="H5" s="54">
        <v>7.4731122042273848</v>
      </c>
      <c r="I5" s="54">
        <v>29.153851454880762</v>
      </c>
      <c r="J5" s="54">
        <v>5.3477054627556688</v>
      </c>
      <c r="K5" s="54">
        <v>26.624269782188502</v>
      </c>
      <c r="L5" s="54">
        <v>3.0229808058371082E-4</v>
      </c>
      <c r="M5" s="54">
        <v>0.62853684696277068</v>
      </c>
      <c r="N5" s="54">
        <v>4.6563288915994372E-2</v>
      </c>
      <c r="O5" s="54">
        <v>0.78067516505942081</v>
      </c>
      <c r="P5" s="54">
        <v>7.5614017425178148E-2</v>
      </c>
      <c r="Q5" s="54">
        <v>0</v>
      </c>
      <c r="R5" s="54">
        <v>0.62801244906927023</v>
      </c>
    </row>
    <row r="6" spans="2:21" ht="25.2" customHeight="1" x14ac:dyDescent="0.25">
      <c r="B6" s="82" t="s">
        <v>514</v>
      </c>
      <c r="C6" s="59">
        <v>302.64023302949761</v>
      </c>
      <c r="D6" s="59">
        <v>8.7160626013404787</v>
      </c>
      <c r="E6" s="59">
        <v>2.8887511177988214</v>
      </c>
      <c r="F6" s="59">
        <v>7.142825695129436</v>
      </c>
      <c r="G6" s="59">
        <v>8.1820236447842358</v>
      </c>
      <c r="H6" s="59">
        <v>222.78387517303096</v>
      </c>
      <c r="I6" s="59">
        <v>75.497180799461105</v>
      </c>
      <c r="J6" s="59">
        <v>706.99150340200254</v>
      </c>
      <c r="K6" s="59"/>
      <c r="L6" s="59">
        <v>0.30242921350080043</v>
      </c>
      <c r="M6" s="59">
        <v>14.910310686919448</v>
      </c>
      <c r="N6" s="59"/>
      <c r="O6" s="59"/>
      <c r="P6" s="59">
        <v>38.492385245750746</v>
      </c>
      <c r="Q6" s="59">
        <v>0</v>
      </c>
      <c r="R6" s="59">
        <v>12.447879128472156</v>
      </c>
    </row>
    <row r="7" spans="2:21" ht="25.2" customHeight="1" x14ac:dyDescent="0.25">
      <c r="B7" s="105"/>
      <c r="C7" s="54"/>
      <c r="D7" s="54"/>
      <c r="E7" s="54"/>
      <c r="F7" s="54"/>
      <c r="G7" s="54"/>
      <c r="H7" s="54"/>
      <c r="I7" s="54"/>
      <c r="J7" s="54"/>
      <c r="K7" s="54"/>
      <c r="L7" s="54"/>
      <c r="M7" s="54"/>
      <c r="N7" s="54"/>
      <c r="O7" s="54"/>
      <c r="P7" s="54"/>
      <c r="Q7" s="54"/>
      <c r="R7" s="54"/>
    </row>
    <row r="8" spans="2:21" ht="25.2" customHeight="1" x14ac:dyDescent="0.25">
      <c r="B8" s="10" t="s">
        <v>639</v>
      </c>
      <c r="C8" s="54">
        <v>0</v>
      </c>
      <c r="D8" s="54">
        <v>221.49077631495791</v>
      </c>
      <c r="E8" s="54">
        <v>2.8933921503529541</v>
      </c>
      <c r="F8" s="54">
        <v>897.06244801985042</v>
      </c>
      <c r="G8" s="54">
        <v>481.42659034240489</v>
      </c>
      <c r="H8" s="54">
        <v>51.721477959975871</v>
      </c>
      <c r="I8" s="54">
        <v>153.38203179017896</v>
      </c>
      <c r="J8" s="54">
        <v>0.65975952632787505</v>
      </c>
      <c r="K8" s="54" t="s">
        <v>39</v>
      </c>
      <c r="L8" s="54">
        <v>6.2635651161513086E-3</v>
      </c>
      <c r="M8" s="54">
        <v>25.219493622567597</v>
      </c>
      <c r="N8" s="54">
        <v>0</v>
      </c>
      <c r="O8" s="54">
        <v>0</v>
      </c>
      <c r="P8" s="54">
        <v>2.7755149414467533</v>
      </c>
      <c r="Q8" s="54">
        <v>1.4862955184135367E-2</v>
      </c>
      <c r="R8" s="54">
        <v>1.985826520923478</v>
      </c>
    </row>
    <row r="9" spans="2:21" ht="25.2" customHeight="1" x14ac:dyDescent="0.25">
      <c r="B9" s="10" t="s">
        <v>513</v>
      </c>
      <c r="C9" s="54">
        <v>6.2804540714852699</v>
      </c>
      <c r="D9" s="54">
        <v>0.49518306413005303</v>
      </c>
      <c r="E9" s="54">
        <v>6.5806614260079985E-2</v>
      </c>
      <c r="F9" s="54">
        <v>6.5695348251240562</v>
      </c>
      <c r="G9" s="54">
        <v>0.45265461028834858</v>
      </c>
      <c r="H9" s="54">
        <v>0</v>
      </c>
      <c r="I9" s="54">
        <v>8.3650794753411475</v>
      </c>
      <c r="J9" s="54">
        <v>2.8044745465171501</v>
      </c>
      <c r="K9" s="54">
        <v>14.182384224748745</v>
      </c>
      <c r="L9" s="54">
        <v>0</v>
      </c>
      <c r="M9" s="54">
        <v>0.12244047975918812</v>
      </c>
      <c r="N9" s="54">
        <v>1.5850859599525025E-2</v>
      </c>
      <c r="O9" s="54">
        <v>0.42773085621838547</v>
      </c>
      <c r="P9" s="54">
        <v>0</v>
      </c>
      <c r="Q9" s="54">
        <v>0</v>
      </c>
      <c r="R9" s="54">
        <v>0</v>
      </c>
    </row>
    <row r="10" spans="2:21" ht="25.2" customHeight="1" x14ac:dyDescent="0.25">
      <c r="B10" s="104" t="s">
        <v>514</v>
      </c>
      <c r="C10" s="59"/>
      <c r="D10" s="59">
        <v>0.22356825524233437</v>
      </c>
      <c r="E10" s="59">
        <v>2.2743759172793943</v>
      </c>
      <c r="F10" s="59">
        <v>0.73233862811061334</v>
      </c>
      <c r="G10" s="59">
        <v>9.4023599728134497E-2</v>
      </c>
      <c r="H10" s="59">
        <v>0</v>
      </c>
      <c r="I10" s="59">
        <v>5.453754509383649</v>
      </c>
      <c r="J10" s="59">
        <v>425.07526372926287</v>
      </c>
      <c r="K10" s="59"/>
      <c r="L10" s="59">
        <v>0</v>
      </c>
      <c r="M10" s="59">
        <v>0.48549935851853337</v>
      </c>
      <c r="N10" s="59"/>
      <c r="O10" s="59"/>
      <c r="P10" s="59">
        <v>0</v>
      </c>
      <c r="Q10" s="59">
        <v>0</v>
      </c>
      <c r="R10" s="59">
        <v>0</v>
      </c>
    </row>
    <row r="11" spans="2:21" ht="25.2" customHeight="1" x14ac:dyDescent="0.25">
      <c r="B11" s="105"/>
      <c r="C11" s="54"/>
      <c r="D11" s="54"/>
      <c r="E11" s="54"/>
      <c r="F11" s="54"/>
      <c r="G11" s="54"/>
      <c r="H11" s="54"/>
      <c r="I11" s="54"/>
      <c r="J11" s="54"/>
      <c r="K11" s="54"/>
      <c r="L11" s="54"/>
      <c r="M11" s="54"/>
      <c r="N11" s="54"/>
      <c r="O11" s="54"/>
      <c r="P11" s="54"/>
      <c r="Q11" s="54"/>
      <c r="R11" s="54"/>
    </row>
    <row r="12" spans="2:21" ht="25.2" customHeight="1" x14ac:dyDescent="0.25">
      <c r="B12" s="10" t="s">
        <v>640</v>
      </c>
      <c r="C12" s="54">
        <v>76.309802628087866</v>
      </c>
      <c r="D12" s="54">
        <v>25.20112466179496</v>
      </c>
      <c r="E12" s="54">
        <v>1.2371313266913915</v>
      </c>
      <c r="F12" s="54">
        <v>194.94944360608082</v>
      </c>
      <c r="G12" s="54">
        <v>691.40468010687209</v>
      </c>
      <c r="H12" s="54">
        <v>28.065700129605233</v>
      </c>
      <c r="I12" s="54">
        <v>268.6529101947587</v>
      </c>
      <c r="J12" s="54">
        <v>5.5299657350558654E-2</v>
      </c>
      <c r="K12" s="54">
        <v>0.44382985085913812</v>
      </c>
      <c r="L12" s="54">
        <v>5.1794741576461259E-2</v>
      </c>
      <c r="M12" s="54">
        <v>7.6811238633963068</v>
      </c>
      <c r="N12" s="54">
        <v>0.24140438123620186</v>
      </c>
      <c r="O12" s="54">
        <v>0</v>
      </c>
      <c r="P12" s="54">
        <v>0.26469814032071837</v>
      </c>
      <c r="Q12" s="54">
        <v>0</v>
      </c>
      <c r="R12" s="54">
        <v>7.5681987317716413</v>
      </c>
    </row>
    <row r="13" spans="2:21" ht="25.2" customHeight="1" x14ac:dyDescent="0.25">
      <c r="B13" s="10" t="s">
        <v>513</v>
      </c>
      <c r="C13" s="54">
        <v>12.173329541841168</v>
      </c>
      <c r="D13" s="54">
        <v>1.9543405035177805</v>
      </c>
      <c r="E13" s="54">
        <v>2.8264394810534065E-2</v>
      </c>
      <c r="F13" s="54">
        <v>6.9088936043493083</v>
      </c>
      <c r="G13" s="54">
        <v>0.24192876934035787</v>
      </c>
      <c r="H13" s="54">
        <v>11.692779498786718</v>
      </c>
      <c r="I13" s="54">
        <v>10.165588496217245</v>
      </c>
      <c r="J13" s="54">
        <v>1.9778846474111773</v>
      </c>
      <c r="K13" s="54">
        <v>9.6759950377534452</v>
      </c>
      <c r="L13" s="54">
        <v>0</v>
      </c>
      <c r="M13" s="54">
        <v>0.16772153054961081</v>
      </c>
      <c r="N13" s="54">
        <v>0</v>
      </c>
      <c r="O13" s="54" t="s">
        <v>1715</v>
      </c>
      <c r="P13" s="54">
        <v>0</v>
      </c>
      <c r="Q13" s="54">
        <v>0</v>
      </c>
      <c r="R13" s="54">
        <v>0</v>
      </c>
    </row>
    <row r="14" spans="2:21" ht="25.2" customHeight="1" x14ac:dyDescent="0.25">
      <c r="B14" s="82" t="s">
        <v>514</v>
      </c>
      <c r="C14" s="59">
        <v>15.952510847355342</v>
      </c>
      <c r="D14" s="59">
        <v>7.7549733583143263</v>
      </c>
      <c r="E14" s="59">
        <v>2.2846721443975491</v>
      </c>
      <c r="F14" s="59">
        <v>3.5439411760053914</v>
      </c>
      <c r="G14" s="59">
        <v>3.499090710565661E-2</v>
      </c>
      <c r="H14" s="59">
        <v>41.662169284180926</v>
      </c>
      <c r="I14" s="59">
        <v>3.7839115492356843</v>
      </c>
      <c r="J14" s="59">
        <v>3576.6670937450144</v>
      </c>
      <c r="K14" s="59">
        <v>2180.1136221512047</v>
      </c>
      <c r="L14" s="59">
        <v>0</v>
      </c>
      <c r="M14" s="59">
        <v>2.1835545622284838</v>
      </c>
      <c r="N14" s="59">
        <v>0</v>
      </c>
      <c r="O14" s="59"/>
      <c r="P14" s="59">
        <v>0</v>
      </c>
      <c r="Q14" s="59"/>
      <c r="R14" s="59">
        <v>0</v>
      </c>
    </row>
    <row r="15" spans="2:21" ht="25.2" customHeight="1" x14ac:dyDescent="0.25">
      <c r="B15" s="105"/>
      <c r="C15" s="54"/>
      <c r="D15" s="54"/>
      <c r="E15" s="54"/>
      <c r="F15" s="54"/>
      <c r="G15" s="54"/>
      <c r="H15" s="54"/>
      <c r="I15" s="54"/>
      <c r="J15" s="54"/>
      <c r="K15" s="54"/>
      <c r="L15" s="54"/>
      <c r="M15" s="54"/>
      <c r="N15" s="54"/>
      <c r="O15" s="54"/>
      <c r="P15" s="54"/>
      <c r="Q15" s="54"/>
      <c r="R15" s="54"/>
    </row>
    <row r="16" spans="2:21" ht="25.2" customHeight="1" x14ac:dyDescent="0.25">
      <c r="B16" s="10" t="s">
        <v>641</v>
      </c>
      <c r="C16" s="54">
        <v>55.000427528481332</v>
      </c>
      <c r="D16" s="54">
        <v>35.754229225765513</v>
      </c>
      <c r="E16" s="54">
        <v>2.3627610756402673</v>
      </c>
      <c r="F16" s="54">
        <v>189.65347958496207</v>
      </c>
      <c r="G16" s="54">
        <v>1958.0702257401331</v>
      </c>
      <c r="H16" s="54">
        <v>11.843079561069809</v>
      </c>
      <c r="I16" s="54">
        <v>353.46102664030985</v>
      </c>
      <c r="J16" s="54">
        <v>0.59999542585667665</v>
      </c>
      <c r="K16" s="54" t="s">
        <v>39</v>
      </c>
      <c r="L16" s="54">
        <v>8.6413913171391916E-3</v>
      </c>
      <c r="M16" s="54">
        <v>12.145028685062327</v>
      </c>
      <c r="N16" s="54">
        <v>0.34269516455311805</v>
      </c>
      <c r="O16" s="54">
        <v>0</v>
      </c>
      <c r="P16" s="54">
        <v>0.32720848273957959</v>
      </c>
      <c r="Q16" s="54">
        <v>1.1007112830540771E-2</v>
      </c>
      <c r="R16" s="54">
        <v>15.21318663538935</v>
      </c>
    </row>
    <row r="17" spans="2:18" ht="25.2" customHeight="1" x14ac:dyDescent="0.25">
      <c r="B17" s="10" t="s">
        <v>513</v>
      </c>
      <c r="C17" s="54">
        <v>8.8851158652283804</v>
      </c>
      <c r="D17" s="54">
        <v>0.69713416814939733</v>
      </c>
      <c r="E17" s="54">
        <v>5.6206318591695661</v>
      </c>
      <c r="F17" s="54">
        <v>2.4509439395850632</v>
      </c>
      <c r="G17" s="54">
        <v>120.22393415116399</v>
      </c>
      <c r="H17" s="54">
        <v>18.781372869474342</v>
      </c>
      <c r="I17" s="54">
        <v>37.098860383086411</v>
      </c>
      <c r="J17" s="54">
        <v>1.6881901559971915</v>
      </c>
      <c r="K17" s="54">
        <v>8.9602314476241194</v>
      </c>
      <c r="L17" s="54">
        <v>0.13962726250961291</v>
      </c>
      <c r="M17" s="54">
        <v>7.7328754751340864E-2</v>
      </c>
      <c r="N17" s="54">
        <v>0</v>
      </c>
      <c r="O17" s="54">
        <v>5.8523587421333216</v>
      </c>
      <c r="P17" s="54">
        <v>0</v>
      </c>
      <c r="Q17" s="54">
        <v>0</v>
      </c>
      <c r="R17" s="54">
        <v>0</v>
      </c>
    </row>
    <row r="18" spans="2:18" ht="25.2" customHeight="1" x14ac:dyDescent="0.25">
      <c r="B18" s="82" t="s">
        <v>514</v>
      </c>
      <c r="C18" s="59">
        <v>16.154630544694086</v>
      </c>
      <c r="D18" s="59">
        <v>1.9497949843847358</v>
      </c>
      <c r="E18" s="59">
        <v>237.88405510474527</v>
      </c>
      <c r="F18" s="59">
        <v>1.2923274305057373</v>
      </c>
      <c r="G18" s="59">
        <v>6.1399194252964246</v>
      </c>
      <c r="H18" s="59">
        <v>158.58521233963393</v>
      </c>
      <c r="I18" s="59">
        <v>10.495884294717186</v>
      </c>
      <c r="J18" s="59">
        <v>281.3671710224765</v>
      </c>
      <c r="K18" s="59"/>
      <c r="L18" s="59">
        <v>1615.7960840481614</v>
      </c>
      <c r="M18" s="59">
        <v>0.6367111742309074</v>
      </c>
      <c r="N18" s="59">
        <v>0</v>
      </c>
      <c r="O18" s="59"/>
      <c r="P18" s="59">
        <v>0</v>
      </c>
      <c r="Q18" s="59">
        <v>0</v>
      </c>
      <c r="R18" s="59">
        <v>0</v>
      </c>
    </row>
    <row r="19" spans="2:18" ht="25.2" customHeight="1" x14ac:dyDescent="0.25">
      <c r="B19" s="105"/>
      <c r="C19" s="54"/>
      <c r="D19" s="54"/>
      <c r="E19" s="54"/>
      <c r="F19" s="54"/>
      <c r="G19" s="54"/>
      <c r="H19" s="54"/>
      <c r="I19" s="54"/>
      <c r="J19" s="54"/>
      <c r="K19" s="54"/>
      <c r="L19" s="54"/>
      <c r="M19" s="54"/>
      <c r="N19" s="54"/>
      <c r="O19" s="54"/>
      <c r="P19" s="54"/>
      <c r="Q19" s="54"/>
      <c r="R19" s="54"/>
    </row>
    <row r="20" spans="2:18" ht="25.2" customHeight="1" x14ac:dyDescent="0.25">
      <c r="B20" s="10" t="s">
        <v>642</v>
      </c>
      <c r="C20" s="54">
        <v>183.77067123793884</v>
      </c>
      <c r="D20" s="54">
        <v>9.8033755103089391</v>
      </c>
      <c r="E20" s="54">
        <v>9.1192416713356845</v>
      </c>
      <c r="F20" s="54">
        <v>224.16679604632384</v>
      </c>
      <c r="G20" s="54">
        <v>111.66520237128576</v>
      </c>
      <c r="H20" s="54">
        <v>0</v>
      </c>
      <c r="I20" s="54">
        <v>489.88517496898589</v>
      </c>
      <c r="J20" s="54">
        <v>0.18147506286059445</v>
      </c>
      <c r="K20" s="54" t="s">
        <v>39</v>
      </c>
      <c r="L20" s="54">
        <v>4.4186104495865818E-2</v>
      </c>
      <c r="M20" s="54">
        <v>4.9610871994198691</v>
      </c>
      <c r="N20" s="54">
        <v>0.86482208448654241</v>
      </c>
      <c r="O20" s="54">
        <v>6.9307012998737036</v>
      </c>
      <c r="P20" s="54">
        <v>2.4769080824119514</v>
      </c>
      <c r="Q20" s="54">
        <v>1.7711748570686723E-2</v>
      </c>
      <c r="R20" s="54">
        <v>17.918546638846891</v>
      </c>
    </row>
    <row r="21" spans="2:18" ht="25.2" customHeight="1" x14ac:dyDescent="0.25">
      <c r="B21" s="10" t="s">
        <v>513</v>
      </c>
      <c r="C21" s="54">
        <v>16.32654631518805</v>
      </c>
      <c r="D21" s="54">
        <v>3.4723801128654301</v>
      </c>
      <c r="E21" s="54">
        <v>1.1091498701626754</v>
      </c>
      <c r="F21" s="54">
        <v>34.722098676579648</v>
      </c>
      <c r="G21" s="54">
        <v>41.026407829576044</v>
      </c>
      <c r="H21" s="54">
        <v>15.478447123624406</v>
      </c>
      <c r="I21" s="54">
        <v>45.769333255910404</v>
      </c>
      <c r="J21" s="54">
        <v>1.1539937730827257</v>
      </c>
      <c r="K21" s="54">
        <v>6.4396459177821219</v>
      </c>
      <c r="L21" s="54">
        <v>0.21502188748355824</v>
      </c>
      <c r="M21" s="54">
        <v>0.36051176258090595</v>
      </c>
      <c r="N21" s="54">
        <v>0</v>
      </c>
      <c r="O21" s="54">
        <v>1.0365491077971536</v>
      </c>
      <c r="P21" s="54">
        <v>0.28140235063286934</v>
      </c>
      <c r="Q21" s="54">
        <v>0</v>
      </c>
      <c r="R21" s="54">
        <v>0</v>
      </c>
    </row>
    <row r="22" spans="2:18" ht="25.2" customHeight="1" x14ac:dyDescent="0.25">
      <c r="B22" s="82" t="s">
        <v>514</v>
      </c>
      <c r="C22" s="59">
        <v>8.8841958323420922</v>
      </c>
      <c r="D22" s="59">
        <v>35.420249986486574</v>
      </c>
      <c r="E22" s="59">
        <v>12.162742365399112</v>
      </c>
      <c r="F22" s="59">
        <v>15.489403109193905</v>
      </c>
      <c r="G22" s="59">
        <v>36.740548495281118</v>
      </c>
      <c r="H22" s="59"/>
      <c r="I22" s="59">
        <v>9.3428696344624047</v>
      </c>
      <c r="J22" s="59">
        <v>635.89661019663117</v>
      </c>
      <c r="K22" s="59"/>
      <c r="L22" s="59">
        <v>486.62784361014747</v>
      </c>
      <c r="M22" s="59">
        <v>7.2667894775778761</v>
      </c>
      <c r="N22" s="59">
        <v>0</v>
      </c>
      <c r="O22" s="59">
        <v>14.955905080140191</v>
      </c>
      <c r="P22" s="59">
        <v>11.361033242656577</v>
      </c>
      <c r="Q22" s="59">
        <v>0</v>
      </c>
      <c r="R22" s="59">
        <v>0</v>
      </c>
    </row>
    <row r="23" spans="2:18" ht="14.4" customHeight="1" x14ac:dyDescent="0.25">
      <c r="B23" s="105"/>
      <c r="C23" s="54"/>
      <c r="D23" s="54"/>
      <c r="E23" s="54"/>
      <c r="F23" s="54"/>
      <c r="G23" s="54"/>
      <c r="H23" s="54"/>
      <c r="I23" s="54"/>
      <c r="J23" s="54"/>
      <c r="K23" s="54"/>
      <c r="L23" s="54"/>
      <c r="M23" s="54"/>
      <c r="N23" s="54"/>
      <c r="O23" s="54"/>
      <c r="P23" s="54"/>
      <c r="Q23" s="54"/>
      <c r="R23" s="54"/>
    </row>
    <row r="24" spans="2:18" ht="25.2" customHeight="1" x14ac:dyDescent="0.25">
      <c r="B24" s="81" t="s">
        <v>515</v>
      </c>
      <c r="C24" s="54">
        <v>16.053570696024714</v>
      </c>
      <c r="D24" s="106">
        <v>7.7549733583143263</v>
      </c>
      <c r="E24" s="54">
        <v>2.8887511177988214</v>
      </c>
      <c r="F24" s="106">
        <v>3.5439411760053914</v>
      </c>
      <c r="G24" s="106">
        <v>6.1399194252964246</v>
      </c>
      <c r="H24" s="54">
        <v>100.12369081190744</v>
      </c>
      <c r="I24" s="106">
        <v>9.3428696344624047</v>
      </c>
      <c r="J24" s="54">
        <v>635.89661019663117</v>
      </c>
      <c r="K24" s="54">
        <v>2180.1136221512047</v>
      </c>
      <c r="L24" s="54">
        <v>0.30242921350080043</v>
      </c>
      <c r="M24" s="54">
        <v>2.1835545622284838</v>
      </c>
      <c r="N24" s="54">
        <v>0</v>
      </c>
      <c r="O24" s="54">
        <v>14.955905080140191</v>
      </c>
      <c r="P24" s="54">
        <v>0</v>
      </c>
      <c r="Q24" s="54">
        <v>0</v>
      </c>
      <c r="R24" s="54">
        <v>0</v>
      </c>
    </row>
    <row r="25" spans="2:18" ht="25.2" customHeight="1" x14ac:dyDescent="0.25">
      <c r="B25" s="81" t="s">
        <v>643</v>
      </c>
      <c r="C25" s="54">
        <v>85.907892563472288</v>
      </c>
      <c r="D25" s="106">
        <v>10.812929837153689</v>
      </c>
      <c r="E25" s="54">
        <v>51.498919329924021</v>
      </c>
      <c r="F25" s="106">
        <v>5.640167207789017</v>
      </c>
      <c r="G25" s="106">
        <v>10.238301214439113</v>
      </c>
      <c r="H25" s="54">
        <v>105.75781419921145</v>
      </c>
      <c r="I25" s="106">
        <v>20.914720157452003</v>
      </c>
      <c r="J25" s="54">
        <v>1125.1995284190775</v>
      </c>
      <c r="K25" s="54">
        <v>2180.1136221512047</v>
      </c>
      <c r="L25" s="54">
        <v>420.54527137436196</v>
      </c>
      <c r="M25" s="54">
        <v>5.0965730518950503</v>
      </c>
      <c r="N25" s="54">
        <v>0</v>
      </c>
      <c r="O25" s="54">
        <v>14.955905080140191</v>
      </c>
      <c r="P25" s="54">
        <v>9.9706836976814639</v>
      </c>
      <c r="Q25" s="54">
        <v>0</v>
      </c>
      <c r="R25" s="54">
        <v>2.4895758256944314</v>
      </c>
    </row>
    <row r="26" spans="2:18" ht="25.2" customHeight="1" x14ac:dyDescent="0.25">
      <c r="B26" s="82" t="s">
        <v>644</v>
      </c>
      <c r="C26" s="59">
        <v>144.52777155886938</v>
      </c>
      <c r="D26" s="107">
        <v>14.229879594480893</v>
      </c>
      <c r="E26" s="59">
        <v>104.27703475575953</v>
      </c>
      <c r="F26" s="107">
        <v>6.054958423553817</v>
      </c>
      <c r="G26" s="107">
        <v>15.251295282860429</v>
      </c>
      <c r="H26" s="59">
        <v>102.92197676331237</v>
      </c>
      <c r="I26" s="107">
        <v>30.635808041161507</v>
      </c>
      <c r="J26" s="59">
        <v>1380.7819845301174</v>
      </c>
      <c r="K26" s="59"/>
      <c r="L26" s="59">
        <v>700.59119829055555</v>
      </c>
      <c r="M26" s="59">
        <v>6.1371274020939142</v>
      </c>
      <c r="N26" s="59">
        <v>0</v>
      </c>
      <c r="O26" s="59"/>
      <c r="P26" s="59">
        <v>16.685803331365129</v>
      </c>
      <c r="Q26" s="59">
        <v>0</v>
      </c>
      <c r="R26" s="59">
        <v>5.5668607813929158</v>
      </c>
    </row>
    <row r="27" spans="2:18" ht="25.2" customHeight="1" x14ac:dyDescent="0.25">
      <c r="B27" s="100" t="s">
        <v>684</v>
      </c>
    </row>
    <row r="28" spans="2:18" ht="25.2" customHeight="1" x14ac:dyDescent="0.25">
      <c r="B28" s="87"/>
    </row>
  </sheetData>
  <mergeCells count="1">
    <mergeCell ref="B2:R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1C74E-D1A8-4826-B0BB-637A4F8528B9}">
  <sheetPr codeName="Sheet6"/>
  <dimension ref="B1:U24"/>
  <sheetViews>
    <sheetView zoomScale="70" zoomScaleNormal="70" workbookViewId="0">
      <selection activeCell="B11" sqref="B11"/>
    </sheetView>
  </sheetViews>
  <sheetFormatPr defaultColWidth="9.109375" defaultRowHeight="13.2" x14ac:dyDescent="0.3"/>
  <cols>
    <col min="1" max="1" width="6.33203125" style="10" customWidth="1"/>
    <col min="2" max="2" width="11.44140625" style="10" customWidth="1"/>
    <col min="3" max="20" width="16.6640625" style="10" customWidth="1"/>
    <col min="21" max="16384" width="9.109375" style="10"/>
  </cols>
  <sheetData>
    <row r="1" spans="2:21" ht="13.2" customHeight="1" x14ac:dyDescent="0.3"/>
    <row r="2" spans="2:21" s="1" customFormat="1" x14ac:dyDescent="0.25">
      <c r="B2" s="158" t="s">
        <v>1796</v>
      </c>
      <c r="C2" s="158"/>
      <c r="D2" s="158"/>
      <c r="E2" s="158"/>
      <c r="F2" s="158"/>
      <c r="G2" s="158"/>
      <c r="H2" s="158"/>
      <c r="I2" s="158"/>
      <c r="J2" s="158"/>
      <c r="K2" s="158"/>
      <c r="L2" s="158"/>
      <c r="M2" s="158"/>
      <c r="N2" s="158"/>
      <c r="O2" s="158"/>
      <c r="P2" s="158"/>
      <c r="Q2" s="158"/>
      <c r="R2" s="158"/>
      <c r="S2" s="158"/>
      <c r="T2" s="158"/>
      <c r="U2" s="158"/>
    </row>
    <row r="3" spans="2:21" ht="24.9" customHeight="1" thickBot="1" x14ac:dyDescent="0.3">
      <c r="B3" s="2" t="s">
        <v>1797</v>
      </c>
      <c r="C3" s="8"/>
      <c r="D3" s="8"/>
      <c r="E3" s="8"/>
      <c r="F3" s="8"/>
      <c r="G3" s="8"/>
      <c r="H3" s="8"/>
      <c r="I3" s="8"/>
      <c r="J3" s="8"/>
      <c r="K3" s="8"/>
      <c r="L3" s="8"/>
      <c r="M3" s="8"/>
      <c r="N3" s="8"/>
      <c r="O3" s="8"/>
      <c r="P3" s="8"/>
      <c r="Q3" s="8"/>
      <c r="R3" s="8"/>
      <c r="S3" s="8"/>
      <c r="T3" s="8"/>
    </row>
    <row r="4" spans="2:21" ht="24.9" customHeight="1" x14ac:dyDescent="0.3">
      <c r="B4" s="84" t="s">
        <v>517</v>
      </c>
      <c r="C4" s="7" t="s">
        <v>25</v>
      </c>
      <c r="D4" s="7" t="s">
        <v>2</v>
      </c>
      <c r="E4" s="7" t="s">
        <v>3</v>
      </c>
      <c r="F4" s="7" t="s">
        <v>26</v>
      </c>
      <c r="G4" s="7" t="s">
        <v>4</v>
      </c>
      <c r="H4" s="7" t="s">
        <v>27</v>
      </c>
      <c r="I4" s="7" t="s">
        <v>28</v>
      </c>
      <c r="J4" s="7" t="s">
        <v>5</v>
      </c>
      <c r="K4" s="7" t="s">
        <v>29</v>
      </c>
      <c r="L4" s="7" t="s">
        <v>6</v>
      </c>
      <c r="M4" s="7" t="s">
        <v>30</v>
      </c>
      <c r="N4" s="7" t="s">
        <v>31</v>
      </c>
      <c r="O4" s="7" t="s">
        <v>32</v>
      </c>
      <c r="P4" s="7" t="s">
        <v>55</v>
      </c>
      <c r="Q4" s="7" t="s">
        <v>56</v>
      </c>
      <c r="R4" s="7" t="s">
        <v>57</v>
      </c>
      <c r="S4" s="7" t="s">
        <v>33</v>
      </c>
      <c r="T4" s="7" t="s">
        <v>34</v>
      </c>
    </row>
    <row r="5" spans="2:21" ht="24.9" customHeight="1" x14ac:dyDescent="0.3">
      <c r="B5" s="27" t="s">
        <v>525</v>
      </c>
      <c r="C5" s="11" t="s">
        <v>602</v>
      </c>
      <c r="D5" s="11" t="s">
        <v>603</v>
      </c>
      <c r="E5" s="11" t="s">
        <v>604</v>
      </c>
      <c r="F5" s="11" t="s">
        <v>605</v>
      </c>
      <c r="G5" s="11" t="s">
        <v>606</v>
      </c>
      <c r="H5" s="11" t="s">
        <v>607</v>
      </c>
      <c r="I5" s="11" t="s">
        <v>608</v>
      </c>
      <c r="J5" s="11" t="s">
        <v>607</v>
      </c>
      <c r="K5" s="11" t="s">
        <v>609</v>
      </c>
      <c r="L5" s="11" t="s">
        <v>610</v>
      </c>
      <c r="M5" s="11" t="s">
        <v>611</v>
      </c>
      <c r="N5" s="11" t="s">
        <v>612</v>
      </c>
      <c r="O5" s="11" t="s">
        <v>613</v>
      </c>
      <c r="P5" s="11" t="s">
        <v>612</v>
      </c>
      <c r="Q5" s="11" t="s">
        <v>612</v>
      </c>
      <c r="R5" s="11" t="s">
        <v>612</v>
      </c>
      <c r="S5" s="11" t="s">
        <v>610</v>
      </c>
      <c r="T5" s="11" t="s">
        <v>610</v>
      </c>
    </row>
    <row r="6" spans="2:21" ht="24.9" customHeight="1" x14ac:dyDescent="0.3">
      <c r="B6" s="27" t="s">
        <v>493</v>
      </c>
      <c r="C6" s="55">
        <v>0.17201568415599583</v>
      </c>
      <c r="D6" s="55">
        <v>2.3751515494841243E-3</v>
      </c>
      <c r="E6" s="55">
        <v>7.8160316156768439E-3</v>
      </c>
      <c r="F6" s="55">
        <v>5.3604897636864379E-2</v>
      </c>
      <c r="G6" s="55">
        <v>1.7812100631710186E-3</v>
      </c>
      <c r="H6" s="55">
        <v>1.8539302037015575E-3</v>
      </c>
      <c r="I6" s="55">
        <v>9.4636338423248253E-3</v>
      </c>
      <c r="J6" s="55">
        <v>2.2305794122936973E-3</v>
      </c>
      <c r="K6" s="55">
        <v>3.8273500045109786E-2</v>
      </c>
      <c r="L6" s="55">
        <v>1.1411406852879325E-4</v>
      </c>
      <c r="M6" s="55">
        <v>4.1665933209367664E-3</v>
      </c>
      <c r="N6" s="55">
        <v>2.5034384443067912E-4</v>
      </c>
      <c r="O6" s="55">
        <v>9.6369012801427291E-4</v>
      </c>
      <c r="P6" s="55">
        <v>2.918171448458888E-4</v>
      </c>
      <c r="Q6" s="55">
        <v>1.845291914374594E-4</v>
      </c>
      <c r="R6" s="55">
        <v>1.9019762671448607E-4</v>
      </c>
      <c r="S6" s="55">
        <v>4.9328857975290883E-5</v>
      </c>
      <c r="T6" s="55">
        <v>1.8999823406744751E-5</v>
      </c>
    </row>
    <row r="7" spans="2:21" ht="24.9" customHeight="1" x14ac:dyDescent="0.3">
      <c r="B7" s="27" t="s">
        <v>494</v>
      </c>
      <c r="C7" s="55">
        <v>1.2384929797525965</v>
      </c>
      <c r="D7" s="55">
        <v>3.10900541727446E-3</v>
      </c>
      <c r="E7" s="55">
        <v>1.7625834339187955E-2</v>
      </c>
      <c r="F7" s="55">
        <v>8.8016430198168794E-2</v>
      </c>
      <c r="G7" s="55">
        <v>2.5808103578254162E-3</v>
      </c>
      <c r="H7" s="55">
        <v>2.3928799482946929E-3</v>
      </c>
      <c r="I7" s="55">
        <v>2.2481074357414303E-2</v>
      </c>
      <c r="J7" s="55">
        <v>2.3536742474245444E-3</v>
      </c>
      <c r="K7" s="55">
        <v>3.7961746654179611E-2</v>
      </c>
      <c r="L7" s="55">
        <v>1.5551401135309315E-4</v>
      </c>
      <c r="M7" s="55">
        <v>5.8760651962505885E-3</v>
      </c>
      <c r="N7" s="55">
        <v>2.7190296236151971E-4</v>
      </c>
      <c r="O7" s="55">
        <v>9.9132365131137778E-4</v>
      </c>
      <c r="P7" s="55">
        <v>3.1598006899543902E-4</v>
      </c>
      <c r="Q7" s="55">
        <v>2.4439218517020937E-4</v>
      </c>
      <c r="R7" s="55">
        <v>2.044381121231939E-4</v>
      </c>
      <c r="S7" s="55">
        <v>7.631287793705137E-5</v>
      </c>
      <c r="T7" s="55">
        <v>5.9829538801024121E-5</v>
      </c>
    </row>
    <row r="8" spans="2:21" ht="24.9" customHeight="1" x14ac:dyDescent="0.3">
      <c r="B8" s="85" t="s">
        <v>501</v>
      </c>
      <c r="C8" s="57">
        <v>2.4845268589129166</v>
      </c>
      <c r="D8" s="57">
        <v>3.0191630631077222E-3</v>
      </c>
      <c r="E8" s="57">
        <v>1.8485685559961107E-2</v>
      </c>
      <c r="F8" s="57">
        <v>6.9126691650706326E-2</v>
      </c>
      <c r="G8" s="57">
        <v>1.8392119273979652E-3</v>
      </c>
      <c r="H8" s="57">
        <v>1.7408351180560281E-3</v>
      </c>
      <c r="I8" s="57">
        <v>2.3180168437123127E-2</v>
      </c>
      <c r="J8" s="57">
        <v>1.5240002985259303E-3</v>
      </c>
      <c r="K8" s="57">
        <v>1.7175468801592764E-2</v>
      </c>
      <c r="L8" s="57">
        <v>1.2964710665274592E-4</v>
      </c>
      <c r="M8" s="57">
        <v>5.5684221369029794E-3</v>
      </c>
      <c r="N8" s="57">
        <v>1.7273476106167656E-4</v>
      </c>
      <c r="O8" s="57">
        <v>4.6353436350174155E-4</v>
      </c>
      <c r="P8" s="57">
        <v>1.7926189759233561E-4</v>
      </c>
      <c r="Q8" s="57">
        <v>1.6133469967324988E-4</v>
      </c>
      <c r="R8" s="57">
        <v>1.1653577662576159E-4</v>
      </c>
      <c r="S8" s="57">
        <v>6.9275975277723723E-5</v>
      </c>
      <c r="T8" s="57">
        <v>1.1519405916025304E-4</v>
      </c>
    </row>
    <row r="9" spans="2:21" ht="24.9" customHeight="1" x14ac:dyDescent="0.3">
      <c r="C9" s="11"/>
      <c r="D9" s="11"/>
      <c r="E9" s="11"/>
      <c r="F9" s="11"/>
      <c r="G9" s="11"/>
      <c r="H9" s="11"/>
      <c r="I9" s="11"/>
      <c r="J9" s="11"/>
      <c r="K9" s="11"/>
      <c r="L9" s="11"/>
      <c r="M9" s="11"/>
      <c r="N9" s="11"/>
      <c r="O9" s="11"/>
      <c r="P9" s="11"/>
      <c r="Q9" s="11"/>
      <c r="R9" s="11"/>
      <c r="S9" s="11"/>
      <c r="T9" s="11"/>
    </row>
    <row r="10" spans="2:21" ht="24.9" customHeight="1" thickBot="1" x14ac:dyDescent="0.3">
      <c r="B10" s="2" t="s">
        <v>1798</v>
      </c>
      <c r="C10" s="8"/>
      <c r="D10" s="8"/>
      <c r="E10" s="8"/>
      <c r="F10" s="8"/>
      <c r="G10" s="8"/>
      <c r="H10" s="8"/>
      <c r="I10" s="8"/>
      <c r="J10" s="8"/>
      <c r="K10" s="8"/>
      <c r="L10" s="8"/>
      <c r="M10" s="8"/>
      <c r="N10" s="8"/>
      <c r="O10" s="8"/>
      <c r="P10" s="8"/>
      <c r="Q10" s="8"/>
      <c r="R10" s="8"/>
      <c r="S10" s="8"/>
      <c r="T10" s="8"/>
    </row>
    <row r="11" spans="2:21" ht="24.9" customHeight="1" x14ac:dyDescent="0.3">
      <c r="B11" s="84" t="s">
        <v>517</v>
      </c>
      <c r="C11" s="7" t="s">
        <v>25</v>
      </c>
      <c r="D11" s="7" t="s">
        <v>2</v>
      </c>
      <c r="E11" s="7" t="s">
        <v>3</v>
      </c>
      <c r="F11" s="7" t="s">
        <v>26</v>
      </c>
      <c r="G11" s="7" t="s">
        <v>4</v>
      </c>
      <c r="H11" s="7" t="s">
        <v>27</v>
      </c>
      <c r="I11" s="7" t="s">
        <v>28</v>
      </c>
      <c r="J11" s="7" t="s">
        <v>5</v>
      </c>
      <c r="K11" s="7" t="s">
        <v>29</v>
      </c>
      <c r="L11" s="7" t="s">
        <v>6</v>
      </c>
      <c r="M11" s="7" t="s">
        <v>30</v>
      </c>
      <c r="N11" s="7" t="s">
        <v>31</v>
      </c>
      <c r="O11" s="7" t="s">
        <v>32</v>
      </c>
      <c r="P11" s="7" t="s">
        <v>55</v>
      </c>
      <c r="Q11" s="7" t="s">
        <v>56</v>
      </c>
      <c r="R11" s="7" t="s">
        <v>57</v>
      </c>
      <c r="S11" s="7" t="s">
        <v>33</v>
      </c>
      <c r="T11" s="7" t="s">
        <v>34</v>
      </c>
    </row>
    <row r="12" spans="2:21" ht="24.9" customHeight="1" x14ac:dyDescent="0.3">
      <c r="B12" s="27" t="s">
        <v>525</v>
      </c>
      <c r="C12" s="11" t="s">
        <v>614</v>
      </c>
      <c r="D12" s="11" t="s">
        <v>615</v>
      </c>
      <c r="E12" s="11" t="s">
        <v>616</v>
      </c>
      <c r="F12" s="11" t="s">
        <v>617</v>
      </c>
      <c r="G12" s="11" t="s">
        <v>618</v>
      </c>
      <c r="H12" s="11" t="s">
        <v>619</v>
      </c>
      <c r="I12" s="11" t="s">
        <v>620</v>
      </c>
      <c r="J12" s="11" t="s">
        <v>621</v>
      </c>
      <c r="K12" s="11" t="s">
        <v>622</v>
      </c>
      <c r="L12" s="11" t="s">
        <v>613</v>
      </c>
      <c r="M12" s="11" t="s">
        <v>623</v>
      </c>
      <c r="N12" s="11" t="s">
        <v>613</v>
      </c>
      <c r="O12" s="11" t="s">
        <v>607</v>
      </c>
      <c r="P12" s="11" t="s">
        <v>613</v>
      </c>
      <c r="Q12" s="11" t="s">
        <v>613</v>
      </c>
      <c r="R12" s="11" t="s">
        <v>613</v>
      </c>
      <c r="S12" s="11" t="s">
        <v>612</v>
      </c>
      <c r="T12" s="11" t="s">
        <v>612</v>
      </c>
    </row>
    <row r="13" spans="2:21" ht="24.9" customHeight="1" x14ac:dyDescent="0.3">
      <c r="B13" s="27" t="s">
        <v>493</v>
      </c>
      <c r="C13" s="55">
        <v>0.57338561385331943</v>
      </c>
      <c r="D13" s="55">
        <v>7.9171718316137472E-3</v>
      </c>
      <c r="E13" s="55">
        <v>2.6053438718922812E-2</v>
      </c>
      <c r="F13" s="55">
        <v>0.17868299212288127</v>
      </c>
      <c r="G13" s="55">
        <v>5.9373668772367289E-3</v>
      </c>
      <c r="H13" s="55">
        <v>6.1797673456718584E-3</v>
      </c>
      <c r="I13" s="55">
        <v>3.1545446141082754E-2</v>
      </c>
      <c r="J13" s="55">
        <v>7.4352647076456578E-3</v>
      </c>
      <c r="K13" s="55">
        <v>0.12757833348369929</v>
      </c>
      <c r="L13" s="55">
        <v>3.8038022842931088E-4</v>
      </c>
      <c r="M13" s="55">
        <v>1.3888644403122555E-2</v>
      </c>
      <c r="N13" s="55">
        <v>8.3447948143559707E-4</v>
      </c>
      <c r="O13" s="55">
        <v>3.2123004267142429E-3</v>
      </c>
      <c r="P13" s="55">
        <v>9.7272381615296269E-4</v>
      </c>
      <c r="Q13" s="55">
        <v>6.1509730479153131E-4</v>
      </c>
      <c r="R13" s="55">
        <v>6.3399208904828686E-4</v>
      </c>
      <c r="S13" s="55">
        <v>1.6442952658430294E-4</v>
      </c>
      <c r="T13" s="55">
        <v>6.3332744689149168E-5</v>
      </c>
    </row>
    <row r="14" spans="2:21" ht="24.9" customHeight="1" x14ac:dyDescent="0.3">
      <c r="B14" s="27" t="s">
        <v>494</v>
      </c>
      <c r="C14" s="55">
        <v>4.1283099325086559</v>
      </c>
      <c r="D14" s="55">
        <v>1.0363351390914866E-2</v>
      </c>
      <c r="E14" s="55">
        <v>5.8752781130626514E-2</v>
      </c>
      <c r="F14" s="55">
        <v>0.2933881006605627</v>
      </c>
      <c r="G14" s="55">
        <v>8.6027011927513868E-3</v>
      </c>
      <c r="H14" s="55">
        <v>7.9762664943156449E-3</v>
      </c>
      <c r="I14" s="55">
        <v>7.4936914524714335E-2</v>
      </c>
      <c r="J14" s="55">
        <v>7.8455808247484826E-3</v>
      </c>
      <c r="K14" s="55">
        <v>0.12653915551393202</v>
      </c>
      <c r="L14" s="55">
        <v>5.1838003784364394E-4</v>
      </c>
      <c r="M14" s="55">
        <v>1.9586883987501962E-2</v>
      </c>
      <c r="N14" s="55">
        <v>9.0634320787173251E-4</v>
      </c>
      <c r="O14" s="55">
        <v>3.3044121710379256E-3</v>
      </c>
      <c r="P14" s="55">
        <v>1.0532668966514633E-3</v>
      </c>
      <c r="Q14" s="55">
        <v>8.1464061723403097E-4</v>
      </c>
      <c r="R14" s="55">
        <v>6.8146037374397961E-4</v>
      </c>
      <c r="S14" s="55">
        <v>2.5437625979017126E-4</v>
      </c>
      <c r="T14" s="55">
        <v>1.994317960034137E-4</v>
      </c>
    </row>
    <row r="15" spans="2:21" ht="24.9" customHeight="1" x14ac:dyDescent="0.3">
      <c r="B15" s="85" t="s">
        <v>501</v>
      </c>
      <c r="C15" s="57">
        <v>8.2817561963763886</v>
      </c>
      <c r="D15" s="57">
        <v>1.006387687702574E-2</v>
      </c>
      <c r="E15" s="57">
        <v>6.1618951866537049E-2</v>
      </c>
      <c r="F15" s="57">
        <v>0.23042230550235435</v>
      </c>
      <c r="G15" s="57">
        <v>6.130706424659885E-3</v>
      </c>
      <c r="H15" s="57">
        <v>5.8027837268534261E-3</v>
      </c>
      <c r="I15" s="57">
        <v>7.72672281237438E-2</v>
      </c>
      <c r="J15" s="57">
        <v>5.0800009950864337E-3</v>
      </c>
      <c r="K15" s="57">
        <v>5.7251562671975856E-2</v>
      </c>
      <c r="L15" s="57">
        <v>4.3215702217581968E-4</v>
      </c>
      <c r="M15" s="57">
        <v>1.8561407123009938E-2</v>
      </c>
      <c r="N15" s="57">
        <v>5.7578253687225525E-4</v>
      </c>
      <c r="O15" s="57">
        <v>1.5451145450058052E-3</v>
      </c>
      <c r="P15" s="57">
        <v>5.9753965864111887E-4</v>
      </c>
      <c r="Q15" s="57">
        <v>5.377823322441662E-4</v>
      </c>
      <c r="R15" s="57">
        <v>3.8845258875253865E-4</v>
      </c>
      <c r="S15" s="57">
        <v>2.3091991759241246E-4</v>
      </c>
      <c r="T15" s="57">
        <v>3.8398019720084351E-4</v>
      </c>
    </row>
    <row r="16" spans="2:21" ht="24.9" customHeight="1" x14ac:dyDescent="0.3"/>
    <row r="17" spans="3:20" ht="24.9" customHeight="1" x14ac:dyDescent="0.3">
      <c r="C17" s="53"/>
      <c r="D17" s="53"/>
      <c r="E17" s="53"/>
      <c r="F17" s="53"/>
      <c r="G17" s="53"/>
      <c r="H17" s="53"/>
      <c r="I17" s="53"/>
      <c r="J17" s="53"/>
      <c r="K17" s="53"/>
      <c r="L17" s="53"/>
      <c r="M17" s="53"/>
      <c r="N17" s="53"/>
      <c r="O17" s="53"/>
      <c r="P17" s="53"/>
      <c r="Q17" s="53"/>
      <c r="R17" s="53"/>
      <c r="S17" s="53"/>
      <c r="T17" s="53"/>
    </row>
    <row r="18" spans="3:20" ht="24.9" customHeight="1" x14ac:dyDescent="0.3"/>
    <row r="19" spans="3:20" ht="24.9" customHeight="1" x14ac:dyDescent="0.3"/>
    <row r="20" spans="3:20" ht="24.9" customHeight="1" x14ac:dyDescent="0.3"/>
    <row r="21" spans="3:20" ht="24.9" customHeight="1" x14ac:dyDescent="0.3"/>
    <row r="22" spans="3:20" ht="24.9" customHeight="1" x14ac:dyDescent="0.3"/>
    <row r="23" spans="3:20" ht="24.9" customHeight="1" x14ac:dyDescent="0.3"/>
    <row r="24" spans="3:20" ht="24.9" customHeight="1" x14ac:dyDescent="0.3"/>
  </sheetData>
  <mergeCells count="1">
    <mergeCell ref="B2:U2"/>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F2535-E673-420B-963C-5499051BC37F}">
  <sheetPr codeName="Sheet8"/>
  <dimension ref="B1:R35"/>
  <sheetViews>
    <sheetView zoomScale="85" zoomScaleNormal="85" workbookViewId="0">
      <pane ySplit="3" topLeftCell="A16" activePane="bottomLeft" state="frozen"/>
      <selection pane="bottomLeft" activeCell="X29" sqref="X29"/>
    </sheetView>
  </sheetViews>
  <sheetFormatPr defaultColWidth="9.109375" defaultRowHeight="24.9" customHeight="1" x14ac:dyDescent="0.3"/>
  <cols>
    <col min="1" max="1" width="6.33203125" style="10" customWidth="1"/>
    <col min="2" max="2" width="23.5546875" style="10" bestFit="1" customWidth="1"/>
    <col min="3" max="16384" width="9.109375" style="10"/>
  </cols>
  <sheetData>
    <row r="1" spans="2:18" ht="13.2" customHeight="1" x14ac:dyDescent="0.3"/>
    <row r="2" spans="2:18" s="1" customFormat="1" ht="34.5" customHeight="1" thickBot="1" x14ac:dyDescent="0.3">
      <c r="B2" s="161" t="s">
        <v>1805</v>
      </c>
      <c r="C2" s="161"/>
      <c r="D2" s="161"/>
      <c r="E2" s="161"/>
      <c r="F2" s="161"/>
      <c r="G2" s="161"/>
      <c r="H2" s="161"/>
      <c r="I2" s="161"/>
      <c r="J2" s="161"/>
      <c r="K2" s="161"/>
      <c r="L2" s="161"/>
      <c r="M2" s="161"/>
      <c r="N2" s="161"/>
      <c r="O2" s="161"/>
      <c r="P2" s="161"/>
      <c r="Q2" s="161"/>
      <c r="R2" s="161"/>
    </row>
    <row r="3" spans="2:18" ht="24.9" customHeight="1" x14ac:dyDescent="0.3">
      <c r="B3" s="66" t="s">
        <v>0</v>
      </c>
      <c r="C3" s="66" t="s">
        <v>555</v>
      </c>
      <c r="D3" s="66" t="s">
        <v>556</v>
      </c>
      <c r="E3" s="66" t="s">
        <v>557</v>
      </c>
      <c r="F3" s="66" t="s">
        <v>558</v>
      </c>
      <c r="G3" s="66" t="s">
        <v>498</v>
      </c>
      <c r="H3" s="66" t="s">
        <v>502</v>
      </c>
      <c r="I3" s="66" t="s">
        <v>559</v>
      </c>
      <c r="J3" s="66" t="s">
        <v>503</v>
      </c>
      <c r="K3" s="66" t="s">
        <v>560</v>
      </c>
      <c r="L3" s="66" t="s">
        <v>504</v>
      </c>
      <c r="M3" s="66" t="s">
        <v>505</v>
      </c>
      <c r="N3" s="66" t="s">
        <v>499</v>
      </c>
      <c r="O3" s="66" t="s">
        <v>500</v>
      </c>
      <c r="P3" s="7" t="s">
        <v>561</v>
      </c>
      <c r="Q3" s="66" t="s">
        <v>562</v>
      </c>
      <c r="R3" s="66" t="s">
        <v>7</v>
      </c>
    </row>
    <row r="4" spans="2:18" ht="24.9" customHeight="1" x14ac:dyDescent="0.3">
      <c r="B4" s="11" t="s">
        <v>1763</v>
      </c>
      <c r="C4" s="54">
        <v>289.07796138352433</v>
      </c>
      <c r="D4" s="54">
        <v>10.736708320784953</v>
      </c>
      <c r="E4" s="54">
        <v>6.6255162353395569</v>
      </c>
      <c r="F4" s="54">
        <v>168.55002416732344</v>
      </c>
      <c r="G4" s="54">
        <v>7.1510789633810825</v>
      </c>
      <c r="H4" s="54">
        <v>8.0806863602774186</v>
      </c>
      <c r="I4" s="54">
        <v>55.92882635277671</v>
      </c>
      <c r="J4" s="54">
        <v>0.95110614750630817</v>
      </c>
      <c r="K4" s="54">
        <v>0.14341959574031976</v>
      </c>
      <c r="L4" s="54">
        <v>0.1690010957793589</v>
      </c>
      <c r="M4" s="54">
        <v>1.1917753152005917</v>
      </c>
      <c r="N4" s="54">
        <v>0.30018374876871307</v>
      </c>
      <c r="O4" s="54">
        <v>51.399602571664786</v>
      </c>
      <c r="P4" s="54">
        <v>0.12548333757765232</v>
      </c>
      <c r="Q4" s="54">
        <v>9.3812306326148689E-2</v>
      </c>
      <c r="R4" s="54">
        <v>8.7285748503254723</v>
      </c>
    </row>
    <row r="5" spans="2:18" ht="24.9" customHeight="1" x14ac:dyDescent="0.3">
      <c r="B5" s="11" t="s">
        <v>1764</v>
      </c>
      <c r="C5" s="54">
        <v>255.23047146268203</v>
      </c>
      <c r="D5" s="54">
        <v>10.920072088159911</v>
      </c>
      <c r="E5" s="54">
        <v>5.2910280592593253</v>
      </c>
      <c r="F5" s="54">
        <v>203.08315230575761</v>
      </c>
      <c r="G5" s="54">
        <v>13.397441431491215</v>
      </c>
      <c r="H5" s="54">
        <v>12.767276006631679</v>
      </c>
      <c r="I5" s="54">
        <v>62.013974114405656</v>
      </c>
      <c r="J5" s="54">
        <v>0.52644994962733982</v>
      </c>
      <c r="K5" s="54">
        <v>0.19402739853423362</v>
      </c>
      <c r="L5" s="54">
        <v>0.13979594870395612</v>
      </c>
      <c r="M5" s="54">
        <v>1.401399189090597</v>
      </c>
      <c r="N5" s="54">
        <v>0.37150485003320866</v>
      </c>
      <c r="O5" s="54">
        <v>43.356309090379746</v>
      </c>
      <c r="P5" s="54">
        <v>8.5069482535821667E-2</v>
      </c>
      <c r="Q5" s="54">
        <v>4.0541634681890509E-2</v>
      </c>
      <c r="R5" s="54">
        <v>8.061080221506538</v>
      </c>
    </row>
    <row r="6" spans="2:18" ht="24.9" customHeight="1" x14ac:dyDescent="0.3">
      <c r="B6" s="11" t="s">
        <v>1765</v>
      </c>
      <c r="C6" s="54">
        <v>327.34915867109413</v>
      </c>
      <c r="D6" s="54">
        <v>15.285944289824187</v>
      </c>
      <c r="E6" s="54">
        <v>6.9936846773879449</v>
      </c>
      <c r="F6" s="54">
        <v>195.67743489965744</v>
      </c>
      <c r="G6" s="54">
        <v>7.8804726130443967</v>
      </c>
      <c r="H6" s="54">
        <v>12.854690042813719</v>
      </c>
      <c r="I6" s="54">
        <v>153.55404212220853</v>
      </c>
      <c r="J6" s="54">
        <v>0.37528209689737785</v>
      </c>
      <c r="K6" s="54">
        <v>10.040383204560214</v>
      </c>
      <c r="L6" s="54">
        <v>7.2155672208417843E-2</v>
      </c>
      <c r="M6" s="54">
        <v>12.55784952709053</v>
      </c>
      <c r="N6" s="54">
        <v>0.32249512582057266</v>
      </c>
      <c r="O6" s="54">
        <v>34.00084397769642</v>
      </c>
      <c r="P6" s="54">
        <v>9.0777708543815824E-2</v>
      </c>
      <c r="Q6" s="54">
        <v>1.4703018355687335E-2</v>
      </c>
      <c r="R6" s="54">
        <v>7.0552036944980649</v>
      </c>
    </row>
    <row r="7" spans="2:18" ht="24.9" customHeight="1" x14ac:dyDescent="0.3">
      <c r="B7" s="11" t="s">
        <v>1766</v>
      </c>
      <c r="C7" s="54">
        <v>333.43142153902659</v>
      </c>
      <c r="D7" s="54">
        <v>7.7395773776988381</v>
      </c>
      <c r="E7" s="54">
        <v>13.239253401963094</v>
      </c>
      <c r="F7" s="54">
        <v>339.74684270449069</v>
      </c>
      <c r="G7" s="54">
        <v>14.563966427630923</v>
      </c>
      <c r="H7" s="54">
        <v>19.093065104408467</v>
      </c>
      <c r="I7" s="54">
        <v>114.63516130524491</v>
      </c>
      <c r="J7" s="54">
        <v>0.45510067166316454</v>
      </c>
      <c r="K7" s="54">
        <v>2.021947641771535</v>
      </c>
      <c r="L7" s="54">
        <v>9.1662155901187425E-2</v>
      </c>
      <c r="M7" s="54">
        <v>30.155378312439865</v>
      </c>
      <c r="N7" s="54">
        <v>0.28264110530007819</v>
      </c>
      <c r="O7" s="54">
        <v>45.789087095828727</v>
      </c>
      <c r="P7" s="54">
        <v>9.0355630748480645E-2</v>
      </c>
      <c r="Q7" s="54">
        <v>1.2906187106642269E-2</v>
      </c>
      <c r="R7" s="54">
        <v>10.615503302923001</v>
      </c>
    </row>
    <row r="8" spans="2:18" ht="24.9" customHeight="1" x14ac:dyDescent="0.3">
      <c r="B8" s="11" t="s">
        <v>1767</v>
      </c>
      <c r="C8" s="54">
        <v>411.78813522430983</v>
      </c>
      <c r="D8" s="54">
        <v>29.883708681583109</v>
      </c>
      <c r="E8" s="54">
        <v>9.7336932239761804</v>
      </c>
      <c r="F8" s="54">
        <v>497.14793792569515</v>
      </c>
      <c r="G8" s="54">
        <v>12.451741764877863</v>
      </c>
      <c r="H8" s="54">
        <v>26.416106655950685</v>
      </c>
      <c r="I8" s="54">
        <v>151.22478211867605</v>
      </c>
      <c r="J8" s="54">
        <v>0.84112668081966413</v>
      </c>
      <c r="K8" s="54">
        <v>10.579855858961624</v>
      </c>
      <c r="L8" s="54">
        <v>0.10322367206991227</v>
      </c>
      <c r="M8" s="54">
        <v>107.44657685377409</v>
      </c>
      <c r="N8" s="54">
        <v>0.71454982169484682</v>
      </c>
      <c r="O8" s="54">
        <v>74.416453371238745</v>
      </c>
      <c r="P8" s="54">
        <v>0.16172206548305368</v>
      </c>
      <c r="Q8" s="54">
        <v>6.4306309449593896E-2</v>
      </c>
      <c r="R8" s="54">
        <v>14.614765385261768</v>
      </c>
    </row>
    <row r="9" spans="2:18" ht="24.9" customHeight="1" x14ac:dyDescent="0.3">
      <c r="B9" s="11" t="s">
        <v>1768</v>
      </c>
      <c r="C9" s="54">
        <v>293.44254928646751</v>
      </c>
      <c r="D9" s="54">
        <v>15.812576332736192</v>
      </c>
      <c r="E9" s="54">
        <v>4.411297399778622</v>
      </c>
      <c r="F9" s="54">
        <v>233.09864413096605</v>
      </c>
      <c r="G9" s="54">
        <v>8.1517453739557002</v>
      </c>
      <c r="H9" s="54">
        <v>16.152394665803143</v>
      </c>
      <c r="I9" s="54">
        <v>85.740179001424536</v>
      </c>
      <c r="J9" s="54">
        <v>0.50493999657775013</v>
      </c>
      <c r="K9" s="54">
        <v>5.069673734918215</v>
      </c>
      <c r="L9" s="54">
        <v>7.9901098877952034E-2</v>
      </c>
      <c r="M9" s="54">
        <v>18.604759163836512</v>
      </c>
      <c r="N9" s="54">
        <v>0.2475232747122626</v>
      </c>
      <c r="O9" s="54">
        <v>45.812820607648071</v>
      </c>
      <c r="P9" s="54">
        <v>8.7902138405560604E-2</v>
      </c>
      <c r="Q9" s="54">
        <v>3.3469436597870134E-2</v>
      </c>
      <c r="R9" s="54">
        <v>9.2659926297675099</v>
      </c>
    </row>
    <row r="10" spans="2:18" ht="24.9" customHeight="1" x14ac:dyDescent="0.3">
      <c r="B10" s="11" t="s">
        <v>1769</v>
      </c>
      <c r="C10" s="54">
        <v>494.23501221279832</v>
      </c>
      <c r="D10" s="54">
        <v>25.571031802751889</v>
      </c>
      <c r="E10" s="54">
        <v>4.8753170899685045</v>
      </c>
      <c r="F10" s="54">
        <v>496.07086153321336</v>
      </c>
      <c r="G10" s="54">
        <v>18.201887302635164</v>
      </c>
      <c r="H10" s="54">
        <v>15.342442218358181</v>
      </c>
      <c r="I10" s="54">
        <v>105.81692361722025</v>
      </c>
      <c r="J10" s="54">
        <v>0.61780941931598221</v>
      </c>
      <c r="K10" s="54">
        <v>5.2591537417140595</v>
      </c>
      <c r="L10" s="54">
        <v>9.2925811845516612E-2</v>
      </c>
      <c r="M10" s="54">
        <v>28.100002192423016</v>
      </c>
      <c r="N10" s="54">
        <v>0.46002465894282957</v>
      </c>
      <c r="O10" s="54">
        <v>86.440709709369685</v>
      </c>
      <c r="P10" s="54">
        <v>9.1571337231168559E-2</v>
      </c>
      <c r="Q10" s="54">
        <v>4.6878203342022258E-2</v>
      </c>
      <c r="R10" s="54">
        <v>23.221954238682901</v>
      </c>
    </row>
    <row r="11" spans="2:18" ht="24.9" customHeight="1" x14ac:dyDescent="0.3">
      <c r="B11" s="11" t="s">
        <v>1770</v>
      </c>
      <c r="C11" s="54">
        <v>508.38604557843888</v>
      </c>
      <c r="D11" s="54">
        <v>8.4037769320231526</v>
      </c>
      <c r="E11" s="54">
        <v>6.2700516009043001</v>
      </c>
      <c r="F11" s="54">
        <v>366.05259481183356</v>
      </c>
      <c r="G11" s="54">
        <v>16.972763102620977</v>
      </c>
      <c r="H11" s="54">
        <v>22.790678051800949</v>
      </c>
      <c r="I11" s="54">
        <v>151.04142225216111</v>
      </c>
      <c r="J11" s="54">
        <v>0.53066959671893121</v>
      </c>
      <c r="K11" s="54">
        <v>2.1548650992618681</v>
      </c>
      <c r="L11" s="54">
        <v>0.10086424741431792</v>
      </c>
      <c r="M11" s="54">
        <v>31.249795449485042</v>
      </c>
      <c r="N11" s="54">
        <v>0.39297811175524083</v>
      </c>
      <c r="O11" s="54">
        <v>47.219316423379844</v>
      </c>
      <c r="P11" s="54">
        <v>0.20100566853982318</v>
      </c>
      <c r="Q11" s="54">
        <v>3.4119490409426641E-2</v>
      </c>
      <c r="R11" s="54">
        <v>20.303537846793443</v>
      </c>
    </row>
    <row r="12" spans="2:18" ht="24.9" customHeight="1" x14ac:dyDescent="0.3">
      <c r="B12" s="11" t="s">
        <v>1771</v>
      </c>
      <c r="C12" s="54">
        <v>609.30198699095138</v>
      </c>
      <c r="D12" s="54">
        <v>10.678927259485086</v>
      </c>
      <c r="E12" s="54">
        <v>3.1349029977126333</v>
      </c>
      <c r="F12" s="54">
        <v>207.04743696188325</v>
      </c>
      <c r="G12" s="54">
        <v>20.230790983578046</v>
      </c>
      <c r="H12" s="54">
        <v>11.849888763429556</v>
      </c>
      <c r="I12" s="54">
        <v>69.850710410857275</v>
      </c>
      <c r="J12" s="54">
        <v>0.44079206227749573</v>
      </c>
      <c r="K12" s="54">
        <v>0.99558703000588678</v>
      </c>
      <c r="L12" s="54">
        <v>7.4817191560245078E-2</v>
      </c>
      <c r="M12" s="54">
        <v>4.5355926747337287</v>
      </c>
      <c r="N12" s="54">
        <v>0.29403718959318542</v>
      </c>
      <c r="O12" s="54">
        <v>125.75912390827729</v>
      </c>
      <c r="P12" s="54">
        <v>7.0374129753695405E-2</v>
      </c>
      <c r="Q12" s="54">
        <v>3.8708162494083771E-2</v>
      </c>
      <c r="R12" s="54">
        <v>13.984679569272071</v>
      </c>
    </row>
    <row r="13" spans="2:18" ht="24.9" customHeight="1" x14ac:dyDescent="0.3">
      <c r="B13" s="11" t="s">
        <v>1772</v>
      </c>
      <c r="C13" s="54">
        <v>389.5039670911637</v>
      </c>
      <c r="D13" s="54">
        <v>22.859746053350783</v>
      </c>
      <c r="E13" s="54">
        <v>3.4520569818756557</v>
      </c>
      <c r="F13" s="54">
        <v>304.16229856019623</v>
      </c>
      <c r="G13" s="54">
        <v>9.9303924097867977</v>
      </c>
      <c r="H13" s="54">
        <v>16.330825578107685</v>
      </c>
      <c r="I13" s="54">
        <v>71.645837146392523</v>
      </c>
      <c r="J13" s="54">
        <v>0.55508326319041923</v>
      </c>
      <c r="K13" s="54">
        <v>7.6621690850221853</v>
      </c>
      <c r="L13" s="54">
        <v>9.2938537853724038E-2</v>
      </c>
      <c r="M13" s="54">
        <v>9.0070391018695197</v>
      </c>
      <c r="N13" s="54">
        <v>0.24914603399444202</v>
      </c>
      <c r="O13" s="54">
        <v>58.780341899542648</v>
      </c>
      <c r="P13" s="54">
        <v>0.1571876074110922</v>
      </c>
      <c r="Q13" s="54">
        <v>4.7791440632858159E-2</v>
      </c>
      <c r="R13" s="54">
        <v>12.132557277834463</v>
      </c>
    </row>
    <row r="14" spans="2:18" ht="24.9" customHeight="1" x14ac:dyDescent="0.3">
      <c r="B14" s="11" t="s">
        <v>1773</v>
      </c>
      <c r="C14" s="54">
        <v>212.6806865026868</v>
      </c>
      <c r="D14" s="54">
        <v>12.012647234631741</v>
      </c>
      <c r="E14" s="54">
        <v>0</v>
      </c>
      <c r="F14" s="54">
        <v>197.97004446815754</v>
      </c>
      <c r="G14" s="54">
        <v>8.6704009238967039</v>
      </c>
      <c r="H14" s="54">
        <v>17.138525195489123</v>
      </c>
      <c r="I14" s="54">
        <v>86.31935365413689</v>
      </c>
      <c r="J14" s="54">
        <v>0.48827511727928574</v>
      </c>
      <c r="K14" s="54">
        <v>2.9960928372487996</v>
      </c>
      <c r="L14" s="54">
        <v>9.7150945845441289E-2</v>
      </c>
      <c r="M14" s="54">
        <v>15.145418282501399</v>
      </c>
      <c r="N14" s="54">
        <v>0.29761604941781761</v>
      </c>
      <c r="O14" s="54">
        <v>81.505552693469198</v>
      </c>
      <c r="P14" s="54">
        <v>0.10571917549383578</v>
      </c>
      <c r="Q14" s="54">
        <v>3.7206899096184888E-2</v>
      </c>
      <c r="R14" s="54">
        <v>9.7727810151821952</v>
      </c>
    </row>
    <row r="15" spans="2:18" ht="24.9" customHeight="1" x14ac:dyDescent="0.3">
      <c r="B15" s="11" t="s">
        <v>1774</v>
      </c>
      <c r="C15" s="54">
        <v>418.455586696257</v>
      </c>
      <c r="D15" s="54">
        <v>14.004792067959068</v>
      </c>
      <c r="E15" s="54">
        <v>4.0297352854690294</v>
      </c>
      <c r="F15" s="54">
        <v>306.16181097731385</v>
      </c>
      <c r="G15" s="54">
        <v>8.4769723716634289</v>
      </c>
      <c r="H15" s="54">
        <v>26.028304287162758</v>
      </c>
      <c r="I15" s="54">
        <v>111.6770463737501</v>
      </c>
      <c r="J15" s="54">
        <v>0.36921403474683606</v>
      </c>
      <c r="K15" s="54">
        <v>2.0858019909891437</v>
      </c>
      <c r="L15" s="54">
        <v>8.3797751109214585E-2</v>
      </c>
      <c r="M15" s="54">
        <v>13.867919211437426</v>
      </c>
      <c r="N15" s="54">
        <v>0.31116656380668711</v>
      </c>
      <c r="O15" s="54">
        <v>62.907749643123836</v>
      </c>
      <c r="P15" s="54">
        <v>0.10018988108573774</v>
      </c>
      <c r="Q15" s="54">
        <v>3.2005127220222418E-2</v>
      </c>
      <c r="R15" s="54">
        <v>16.877390741593892</v>
      </c>
    </row>
    <row r="16" spans="2:18" ht="24.9" customHeight="1" x14ac:dyDescent="0.3">
      <c r="B16" s="11" t="s">
        <v>1775</v>
      </c>
      <c r="C16" s="54">
        <v>661.31112229094015</v>
      </c>
      <c r="D16" s="54">
        <v>11.521715549777459</v>
      </c>
      <c r="E16" s="54">
        <v>5.3548401129368255</v>
      </c>
      <c r="F16" s="54">
        <v>278.3340315556506</v>
      </c>
      <c r="G16" s="54">
        <v>6.752861707084902</v>
      </c>
      <c r="H16" s="54">
        <v>32.728748126267334</v>
      </c>
      <c r="I16" s="54">
        <v>56.407403891122165</v>
      </c>
      <c r="J16" s="54">
        <v>0.39663813847617085</v>
      </c>
      <c r="K16" s="54">
        <v>0.84173010786615876</v>
      </c>
      <c r="L16" s="54">
        <v>7.7287810752474512E-2</v>
      </c>
      <c r="M16" s="54">
        <v>8.0665111595797754</v>
      </c>
      <c r="N16" s="54">
        <v>1.9874118887642933</v>
      </c>
      <c r="O16" s="54">
        <v>266.19397794334697</v>
      </c>
      <c r="P16" s="54">
        <v>7.1244915620408564E-2</v>
      </c>
      <c r="Q16" s="54">
        <v>4.0625430291079338E-2</v>
      </c>
      <c r="R16" s="54">
        <v>21.739441331967921</v>
      </c>
    </row>
    <row r="17" spans="2:18" ht="24.9" customHeight="1" x14ac:dyDescent="0.3">
      <c r="B17" s="11" t="s">
        <v>1776</v>
      </c>
      <c r="C17" s="54">
        <v>442.49810971957675</v>
      </c>
      <c r="D17" s="54">
        <v>31.70081504381605</v>
      </c>
      <c r="E17" s="54">
        <v>7.5267035427102282</v>
      </c>
      <c r="F17" s="54">
        <v>551.61619183436733</v>
      </c>
      <c r="G17" s="54">
        <v>13.97566240862057</v>
      </c>
      <c r="H17" s="54">
        <v>26.323631540412865</v>
      </c>
      <c r="I17" s="54">
        <v>111.1990291967299</v>
      </c>
      <c r="J17" s="54">
        <v>0.5951729312972377</v>
      </c>
      <c r="K17" s="54">
        <v>1.3305883319020548</v>
      </c>
      <c r="L17" s="54">
        <v>0.14937445802904667</v>
      </c>
      <c r="M17" s="54">
        <v>27.189817015883467</v>
      </c>
      <c r="N17" s="54">
        <v>0.38107578288425903</v>
      </c>
      <c r="O17" s="54">
        <v>79.469615746856164</v>
      </c>
      <c r="P17" s="54">
        <v>0.1289367806353397</v>
      </c>
      <c r="Q17" s="54">
        <v>4.7325339268931205E-2</v>
      </c>
      <c r="R17" s="54">
        <v>16.404576122447729</v>
      </c>
    </row>
    <row r="18" spans="2:18" ht="24.9" customHeight="1" x14ac:dyDescent="0.3">
      <c r="B18" s="11" t="s">
        <v>1777</v>
      </c>
      <c r="C18" s="54">
        <v>323.3246200392893</v>
      </c>
      <c r="D18" s="54">
        <v>17.842682840680471</v>
      </c>
      <c r="E18" s="54">
        <v>7.8172127631675528</v>
      </c>
      <c r="F18" s="54">
        <v>247.75119531826743</v>
      </c>
      <c r="G18" s="54">
        <v>8.6709571342806289</v>
      </c>
      <c r="H18" s="54">
        <v>8.8435218228694019</v>
      </c>
      <c r="I18" s="54">
        <v>49.9115887402927</v>
      </c>
      <c r="J18" s="54">
        <v>0.37890314310312112</v>
      </c>
      <c r="K18" s="54">
        <v>0.79735066440650448</v>
      </c>
      <c r="L18" s="54">
        <v>7.1423556823211484E-2</v>
      </c>
      <c r="M18" s="54">
        <v>10.366240392302895</v>
      </c>
      <c r="N18" s="54">
        <v>0.16754168737069092</v>
      </c>
      <c r="O18" s="54">
        <v>77.529733415934274</v>
      </c>
      <c r="P18" s="54">
        <v>4.3048862531664421E-2</v>
      </c>
      <c r="Q18" s="54">
        <v>2.7435485765721888E-2</v>
      </c>
      <c r="R18" s="54">
        <v>10.414136562748052</v>
      </c>
    </row>
    <row r="19" spans="2:18" ht="24.9" customHeight="1" x14ac:dyDescent="0.3">
      <c r="B19" s="11" t="s">
        <v>518</v>
      </c>
      <c r="C19" s="54">
        <v>356.56984769325123</v>
      </c>
      <c r="D19" s="54">
        <v>13.324043716799512</v>
      </c>
      <c r="E19" s="54">
        <v>2.4180272228190161</v>
      </c>
      <c r="F19" s="54">
        <v>244.90190296069443</v>
      </c>
      <c r="G19" s="54">
        <v>5.3991304906700277</v>
      </c>
      <c r="H19" s="54">
        <v>13.106609641521439</v>
      </c>
      <c r="I19" s="54">
        <v>94.270930375898104</v>
      </c>
      <c r="J19" s="54">
        <v>0.45783632840486571</v>
      </c>
      <c r="K19" s="54">
        <v>1.1140845870436196</v>
      </c>
      <c r="L19" s="54">
        <v>8.7595403095110727E-2</v>
      </c>
      <c r="M19" s="54">
        <v>9.6562572029310214</v>
      </c>
      <c r="N19" s="54">
        <v>0.37901899337573208</v>
      </c>
      <c r="O19" s="54">
        <v>58.137503394511569</v>
      </c>
      <c r="P19" s="54">
        <v>0.12401586526968222</v>
      </c>
      <c r="Q19" s="54">
        <v>3.7993202304810375E-2</v>
      </c>
      <c r="R19" s="54">
        <v>4.2696988938703386</v>
      </c>
    </row>
    <row r="20" spans="2:18" ht="24.9" customHeight="1" x14ac:dyDescent="0.3">
      <c r="B20" s="11" t="s">
        <v>519</v>
      </c>
      <c r="C20" s="54">
        <v>358.24464614656239</v>
      </c>
      <c r="D20" s="54">
        <v>10.686043146222968</v>
      </c>
      <c r="E20" s="54">
        <v>2.1548446274259936</v>
      </c>
      <c r="F20" s="54">
        <v>232.15875156172405</v>
      </c>
      <c r="G20" s="54">
        <v>6.4882894375872864</v>
      </c>
      <c r="H20" s="54">
        <v>41.881160585861622</v>
      </c>
      <c r="I20" s="54">
        <v>92.812019599525613</v>
      </c>
      <c r="J20" s="54">
        <v>0.41330837893061412</v>
      </c>
      <c r="K20" s="54">
        <v>0.57347767361599356</v>
      </c>
      <c r="L20" s="54">
        <v>0.12121223347241422</v>
      </c>
      <c r="M20" s="54">
        <v>9.9410465247626334</v>
      </c>
      <c r="N20" s="54">
        <v>0.98149533091511854</v>
      </c>
      <c r="O20" s="54">
        <v>46.697227983027929</v>
      </c>
      <c r="P20" s="54">
        <v>0.94316876050376985</v>
      </c>
      <c r="Q20" s="54">
        <v>3.1500476286051786E-2</v>
      </c>
      <c r="R20" s="54">
        <v>4.5110393421744313</v>
      </c>
    </row>
    <row r="21" spans="2:18" ht="24.9" customHeight="1" x14ac:dyDescent="0.3">
      <c r="B21" s="11" t="s">
        <v>520</v>
      </c>
      <c r="C21" s="54">
        <v>420.87050666383209</v>
      </c>
      <c r="D21" s="54">
        <v>12.600459350392782</v>
      </c>
      <c r="E21" s="54">
        <v>3.9757386004169359</v>
      </c>
      <c r="F21" s="54">
        <v>304.13733994348161</v>
      </c>
      <c r="G21" s="54">
        <v>8.5076199090710958</v>
      </c>
      <c r="H21" s="54">
        <v>10.551814480172034</v>
      </c>
      <c r="I21" s="54">
        <v>98.730550453240127</v>
      </c>
      <c r="J21" s="54">
        <v>0.40085496805896914</v>
      </c>
      <c r="K21" s="54">
        <v>1.4913181773921356</v>
      </c>
      <c r="L21" s="54">
        <v>0.19097847107617785</v>
      </c>
      <c r="M21" s="54">
        <v>13.94433362811937</v>
      </c>
      <c r="N21" s="54">
        <v>0.53817165375988307</v>
      </c>
      <c r="O21" s="54">
        <v>45.379699877214271</v>
      </c>
      <c r="P21" s="54">
        <v>9.0767127644058879E-2</v>
      </c>
      <c r="Q21" s="54">
        <v>2.9128242007936185E-2</v>
      </c>
      <c r="R21" s="54">
        <v>4.7372505781747911</v>
      </c>
    </row>
    <row r="22" spans="2:18" ht="24.9" customHeight="1" x14ac:dyDescent="0.3">
      <c r="B22" s="11" t="s">
        <v>521</v>
      </c>
      <c r="C22" s="54">
        <v>393.01494162014183</v>
      </c>
      <c r="D22" s="54">
        <v>20.272325311024911</v>
      </c>
      <c r="E22" s="54">
        <v>11.024823556431091</v>
      </c>
      <c r="F22" s="54">
        <v>356.6923088347271</v>
      </c>
      <c r="G22" s="54">
        <v>13.908938580220733</v>
      </c>
      <c r="H22" s="54">
        <v>10.289262256437594</v>
      </c>
      <c r="I22" s="54">
        <v>71.231413794408397</v>
      </c>
      <c r="J22" s="54">
        <v>0.45233866036416276</v>
      </c>
      <c r="K22" s="54">
        <v>1.2781736409321196</v>
      </c>
      <c r="L22" s="54">
        <v>5.930259426143019E-2</v>
      </c>
      <c r="M22" s="54">
        <v>14.340711919241734</v>
      </c>
      <c r="N22" s="54">
        <v>0.20351708510956482</v>
      </c>
      <c r="O22" s="54">
        <v>70.17857668281529</v>
      </c>
      <c r="P22" s="54">
        <v>6.2134701399435159E-2</v>
      </c>
      <c r="Q22" s="54">
        <v>3.659981875082656E-2</v>
      </c>
      <c r="R22" s="54">
        <v>4.7859327321578116</v>
      </c>
    </row>
    <row r="23" spans="2:18" ht="24.9" customHeight="1" x14ac:dyDescent="0.3">
      <c r="B23" s="11" t="s">
        <v>522</v>
      </c>
      <c r="C23" s="54">
        <v>296.40924773102631</v>
      </c>
      <c r="D23" s="54">
        <v>8.5912107341210273</v>
      </c>
      <c r="E23" s="54">
        <v>1.190443366600483</v>
      </c>
      <c r="F23" s="54">
        <v>136.81192009774654</v>
      </c>
      <c r="G23" s="54">
        <v>7.6981784455053903</v>
      </c>
      <c r="H23" s="54">
        <v>8.2884396704895327</v>
      </c>
      <c r="I23" s="54">
        <v>48.324173419209892</v>
      </c>
      <c r="J23" s="54">
        <v>0.448580409013073</v>
      </c>
      <c r="K23" s="54">
        <v>0.76312940501337956</v>
      </c>
      <c r="L23" s="54">
        <v>8.1912099079461911E-2</v>
      </c>
      <c r="M23" s="54">
        <v>2.4190264071395653</v>
      </c>
      <c r="N23" s="54">
        <v>0.1524138349476967</v>
      </c>
      <c r="O23" s="54">
        <v>37.685528631437521</v>
      </c>
      <c r="P23" s="54">
        <v>6.5396619443592652E-2</v>
      </c>
      <c r="Q23" s="54">
        <v>3.1045789167192941E-2</v>
      </c>
      <c r="R23" s="54">
        <v>3.0771082408068686</v>
      </c>
    </row>
    <row r="24" spans="2:18" ht="24.9" customHeight="1" x14ac:dyDescent="0.3">
      <c r="B24" s="11" t="s">
        <v>523</v>
      </c>
      <c r="C24" s="54">
        <v>380.77858457408632</v>
      </c>
      <c r="D24" s="54">
        <v>33.220469516234679</v>
      </c>
      <c r="E24" s="54">
        <v>9.9466583567561635</v>
      </c>
      <c r="F24" s="54">
        <v>603.63199412865958</v>
      </c>
      <c r="G24" s="54">
        <v>14.938996660388856</v>
      </c>
      <c r="H24" s="54">
        <v>11.410572696174704</v>
      </c>
      <c r="I24" s="54">
        <v>128.35417168034473</v>
      </c>
      <c r="J24" s="54">
        <v>0.61388274945539045</v>
      </c>
      <c r="K24" s="54">
        <v>6.2835482588417406</v>
      </c>
      <c r="L24" s="54">
        <v>0.29336900364547358</v>
      </c>
      <c r="M24" s="54">
        <v>32.651641782696707</v>
      </c>
      <c r="N24" s="54">
        <v>0.54764026371081354</v>
      </c>
      <c r="O24" s="54">
        <v>55.79998839410699</v>
      </c>
      <c r="P24" s="54">
        <v>9.0684267351956657E-2</v>
      </c>
      <c r="Q24" s="54">
        <v>3.8591610277417608E-2</v>
      </c>
      <c r="R24" s="54">
        <v>8.3250188908278915</v>
      </c>
    </row>
    <row r="25" spans="2:18" ht="24.9" customHeight="1" x14ac:dyDescent="0.3">
      <c r="B25" s="14" t="s">
        <v>524</v>
      </c>
      <c r="C25" s="59">
        <v>395.82394605635722</v>
      </c>
      <c r="D25" s="59">
        <v>32.247307734625814</v>
      </c>
      <c r="E25" s="59">
        <v>11.106500156865479</v>
      </c>
      <c r="F25" s="59">
        <v>402.77970452575823</v>
      </c>
      <c r="G25" s="59">
        <v>10.07546208834056</v>
      </c>
      <c r="H25" s="59">
        <v>17.327719206013093</v>
      </c>
      <c r="I25" s="59">
        <v>95.718023135467519</v>
      </c>
      <c r="J25" s="59">
        <v>0.46427846733035472</v>
      </c>
      <c r="K25" s="59">
        <v>3.5772399943662165</v>
      </c>
      <c r="L25" s="59">
        <v>8.7239664600376479E-2</v>
      </c>
      <c r="M25" s="59">
        <v>25.772707994643017</v>
      </c>
      <c r="N25" s="59">
        <v>1.5347225421890625</v>
      </c>
      <c r="O25" s="59">
        <v>66.164601047307599</v>
      </c>
      <c r="P25" s="59">
        <v>0.10517002635181417</v>
      </c>
      <c r="Q25" s="59">
        <v>4.0641418463657673E-2</v>
      </c>
      <c r="R25" s="59">
        <v>5.6937633036933972</v>
      </c>
    </row>
    <row r="26" spans="2:18" ht="24.9" customHeight="1" x14ac:dyDescent="0.3">
      <c r="B26" s="105" t="s">
        <v>1758</v>
      </c>
      <c r="C26" s="45">
        <v>212.6806865026868</v>
      </c>
      <c r="D26" s="45">
        <v>7.7395773776988381</v>
      </c>
      <c r="E26" s="45">
        <v>0</v>
      </c>
      <c r="F26" s="45">
        <v>136.81192009774654</v>
      </c>
      <c r="G26" s="45">
        <v>5.3991304906700277</v>
      </c>
      <c r="H26" s="45">
        <v>8.0806863602774186</v>
      </c>
      <c r="I26" s="45">
        <v>48.324173419209892</v>
      </c>
      <c r="J26" s="45">
        <v>0.36921403474683606</v>
      </c>
      <c r="K26" s="45">
        <v>0.14341959574031976</v>
      </c>
      <c r="L26" s="45">
        <v>5.930259426143019E-2</v>
      </c>
      <c r="M26" s="45">
        <v>1.1917753152005917</v>
      </c>
      <c r="N26" s="45">
        <v>0.1524138349476967</v>
      </c>
      <c r="O26" s="45">
        <v>34.00084397769642</v>
      </c>
      <c r="P26" s="45">
        <v>4.3048862531664421E-2</v>
      </c>
      <c r="Q26" s="45">
        <v>1.2906187106642269E-2</v>
      </c>
      <c r="R26" s="45">
        <v>3.0771082408068686</v>
      </c>
    </row>
    <row r="27" spans="2:18" ht="24.9" customHeight="1" x14ac:dyDescent="0.3">
      <c r="B27" s="105" t="s">
        <v>1759</v>
      </c>
      <c r="C27" s="45">
        <v>661.31112229094015</v>
      </c>
      <c r="D27" s="45">
        <v>33.220469516234679</v>
      </c>
      <c r="E27" s="45">
        <v>13.239253401963094</v>
      </c>
      <c r="F27" s="45">
        <v>603.63199412865958</v>
      </c>
      <c r="G27" s="45">
        <v>20.230790983578046</v>
      </c>
      <c r="H27" s="45">
        <v>41.881160585861622</v>
      </c>
      <c r="I27" s="45">
        <v>153.55404212220853</v>
      </c>
      <c r="J27" s="45">
        <v>0.95110614750630817</v>
      </c>
      <c r="K27" s="45">
        <v>10.579855858961624</v>
      </c>
      <c r="L27" s="45">
        <v>0.29336900364547358</v>
      </c>
      <c r="M27" s="45">
        <v>107.44657685377409</v>
      </c>
      <c r="N27" s="45">
        <v>1.9874118887642933</v>
      </c>
      <c r="O27" s="45">
        <v>266.19397794334697</v>
      </c>
      <c r="P27" s="45">
        <v>0.94316876050376985</v>
      </c>
      <c r="Q27" s="45">
        <v>9.3812306326148689E-2</v>
      </c>
      <c r="R27" s="45">
        <v>23.221954238682901</v>
      </c>
    </row>
    <row r="28" spans="2:18" ht="24.9" customHeight="1" x14ac:dyDescent="0.3">
      <c r="B28" s="105" t="s">
        <v>493</v>
      </c>
      <c r="C28" s="45">
        <v>385.14127583262501</v>
      </c>
      <c r="D28" s="45">
        <v>13.664417892379291</v>
      </c>
      <c r="E28" s="45">
        <v>5.3229340860980754</v>
      </c>
      <c r="F28" s="45">
        <v>291.23568574956607</v>
      </c>
      <c r="G28" s="45">
        <v>9.3006747720337124</v>
      </c>
      <c r="H28" s="45">
        <v>15.747418442080662</v>
      </c>
      <c r="I28" s="45">
        <v>93.541474987711865</v>
      </c>
      <c r="J28" s="45">
        <v>0.46105739786761024</v>
      </c>
      <c r="K28" s="45">
        <v>1.7566329095818354</v>
      </c>
      <c r="L28" s="45">
        <v>9.2293983873352026E-2</v>
      </c>
      <c r="M28" s="45">
        <v>13.906126419778399</v>
      </c>
      <c r="N28" s="45">
        <v>0.34699998792689069</v>
      </c>
      <c r="O28" s="45">
        <v>58.458922647027109</v>
      </c>
      <c r="P28" s="45">
        <v>9.1174522887492199E-2</v>
      </c>
      <c r="Q28" s="45">
        <v>3.7600050700497628E-2</v>
      </c>
      <c r="R28" s="45">
        <v>9.5193868224748535</v>
      </c>
    </row>
    <row r="29" spans="2:18" ht="24.9" customHeight="1" x14ac:dyDescent="0.3">
      <c r="B29" s="105" t="s">
        <v>838</v>
      </c>
      <c r="C29" s="45">
        <v>316.59577696222357</v>
      </c>
      <c r="D29" s="45">
        <v>10.724042027144456</v>
      </c>
      <c r="E29" s="45">
        <v>3.3727684858349001</v>
      </c>
      <c r="F29" s="45">
        <v>206.05636579785184</v>
      </c>
      <c r="G29" s="45">
        <v>7.8348990711596453</v>
      </c>
      <c r="H29" s="45">
        <v>11.195883142174036</v>
      </c>
      <c r="I29" s="45">
        <v>67.891526336744363</v>
      </c>
      <c r="J29" s="45">
        <v>0.41019502621270287</v>
      </c>
      <c r="K29" s="45">
        <v>0.83063524700124525</v>
      </c>
      <c r="L29" s="45">
        <v>7.9247776846582657E-2</v>
      </c>
      <c r="M29" s="45">
        <v>8.7719071162970828</v>
      </c>
      <c r="N29" s="45">
        <v>0.27426733747366916</v>
      </c>
      <c r="O29" s="45">
        <v>45.806887229693231</v>
      </c>
      <c r="P29" s="45">
        <v>8.1613340806968387E-2</v>
      </c>
      <c r="Q29" s="45">
        <v>3.1386804506337074E-2</v>
      </c>
      <c r="R29" s="45">
        <v>5.4668056608095004</v>
      </c>
    </row>
    <row r="30" spans="2:18" ht="24.9" customHeight="1" x14ac:dyDescent="0.3">
      <c r="B30" s="105" t="s">
        <v>839</v>
      </c>
      <c r="C30" s="45">
        <v>426.27740742776825</v>
      </c>
      <c r="D30" s="45">
        <v>23.537567490701058</v>
      </c>
      <c r="E30" s="45">
        <v>8.296332878369709</v>
      </c>
      <c r="F30" s="45">
        <v>375.23437224031471</v>
      </c>
      <c r="G30" s="45">
        <v>14.122738413373158</v>
      </c>
      <c r="H30" s="45">
        <v>23.600084610641403</v>
      </c>
      <c r="I30" s="45">
        <v>112.41657510662381</v>
      </c>
      <c r="J30" s="45">
        <v>0.56510568021712382</v>
      </c>
      <c r="K30" s="45">
        <v>5.1170437366171759</v>
      </c>
      <c r="L30" s="45">
        <v>0.1258581622802997</v>
      </c>
      <c r="M30" s="45">
        <v>27.417363310018352</v>
      </c>
      <c r="N30" s="45">
        <v>0.54053880624761574</v>
      </c>
      <c r="O30" s="45">
        <v>78.014703998664743</v>
      </c>
      <c r="P30" s="45">
        <v>0.12634669834207415</v>
      </c>
      <c r="Q30" s="45">
        <v>4.2200614683248816E-2</v>
      </c>
      <c r="R30" s="45">
        <v>15.062218069558257</v>
      </c>
    </row>
    <row r="31" spans="2:18" ht="24.9" customHeight="1" x14ac:dyDescent="0.3">
      <c r="B31" s="105" t="s">
        <v>494</v>
      </c>
      <c r="C31" s="45">
        <v>389.62402523520291</v>
      </c>
      <c r="D31" s="45">
        <v>17.087117335667486</v>
      </c>
      <c r="E31" s="45">
        <v>5.8805277966927489</v>
      </c>
      <c r="F31" s="45">
        <v>312.43565564579836</v>
      </c>
      <c r="G31" s="45">
        <v>11.022534115015105</v>
      </c>
      <c r="H31" s="45">
        <v>17.527107407111501</v>
      </c>
      <c r="I31" s="45">
        <v>93.927616488886088</v>
      </c>
      <c r="J31" s="45">
        <v>0.51262014595702343</v>
      </c>
      <c r="K31" s="45">
        <v>3.0569826390958186</v>
      </c>
      <c r="L31" s="45">
        <v>0.10990588290929187</v>
      </c>
      <c r="M31" s="45">
        <v>19.436899968235565</v>
      </c>
      <c r="N31" s="45">
        <v>0.50531252713031805</v>
      </c>
      <c r="O31" s="45">
        <v>70.937471095826254</v>
      </c>
      <c r="P31" s="45">
        <v>0.14054209498006637</v>
      </c>
      <c r="Q31" s="45">
        <v>3.8969774013466206E-2</v>
      </c>
      <c r="R31" s="45">
        <v>10.845090307841389</v>
      </c>
    </row>
    <row r="32" spans="2:18" ht="24.9" customHeight="1" x14ac:dyDescent="0.3">
      <c r="B32" s="105" t="s">
        <v>1760</v>
      </c>
      <c r="C32" s="45">
        <v>107.63064059898305</v>
      </c>
      <c r="D32" s="45">
        <v>8.4068739241389849</v>
      </c>
      <c r="E32" s="45">
        <v>3.5857209440049957</v>
      </c>
      <c r="F32" s="45">
        <v>128.6845583472797</v>
      </c>
      <c r="G32" s="45">
        <v>4.1683520877292768</v>
      </c>
      <c r="H32" s="45">
        <v>8.6630573913213045</v>
      </c>
      <c r="I32" s="45">
        <v>32.440451440642121</v>
      </c>
      <c r="J32" s="45">
        <v>0.14572421702412805</v>
      </c>
      <c r="K32" s="45">
        <v>3.1147227001660633</v>
      </c>
      <c r="L32" s="45">
        <v>5.2842887611597548E-2</v>
      </c>
      <c r="M32" s="45">
        <v>22.016923852919749</v>
      </c>
      <c r="N32" s="45">
        <v>0.45282176211099329</v>
      </c>
      <c r="O32" s="45">
        <v>48.264650208790187</v>
      </c>
      <c r="P32" s="45">
        <v>0.18290613378261983</v>
      </c>
      <c r="Q32" s="45">
        <v>1.63250706455506E-2</v>
      </c>
      <c r="R32" s="45">
        <v>5.9178358827247832</v>
      </c>
    </row>
    <row r="33" spans="2:18" ht="24.9" customHeight="1" x14ac:dyDescent="0.3">
      <c r="B33" s="154" t="s">
        <v>1761</v>
      </c>
      <c r="C33" s="45">
        <v>322.89192179694913</v>
      </c>
      <c r="D33" s="45">
        <v>25.220621772416955</v>
      </c>
      <c r="E33" s="45">
        <v>10.757162832014988</v>
      </c>
      <c r="F33" s="45">
        <v>386.05367504183914</v>
      </c>
      <c r="G33" s="45">
        <v>12.50505626318783</v>
      </c>
      <c r="H33" s="45">
        <v>25.989172173963915</v>
      </c>
      <c r="I33" s="45">
        <v>97.321354321926364</v>
      </c>
      <c r="J33" s="45">
        <v>0.43717265107238412</v>
      </c>
      <c r="K33" s="45">
        <v>9.3441681004981909</v>
      </c>
      <c r="L33" s="45">
        <v>0.15852866283479264</v>
      </c>
      <c r="M33" s="45">
        <v>66.050771558759251</v>
      </c>
      <c r="N33" s="45">
        <v>1.3584652863329798</v>
      </c>
      <c r="O33" s="45">
        <v>144.79395062637056</v>
      </c>
      <c r="P33" s="45">
        <v>0.54871840134785943</v>
      </c>
      <c r="Q33" s="45">
        <v>4.8975211936651802E-2</v>
      </c>
      <c r="R33" s="45">
        <v>17.753507648174349</v>
      </c>
    </row>
    <row r="34" spans="2:18" ht="24.9" customHeight="1" x14ac:dyDescent="0.3">
      <c r="B34" s="155" t="s">
        <v>1762</v>
      </c>
      <c r="C34" s="125">
        <v>1076.3064059898304</v>
      </c>
      <c r="D34" s="125">
        <v>84.068739241389849</v>
      </c>
      <c r="E34" s="125">
        <v>35.857209440049957</v>
      </c>
      <c r="F34" s="125">
        <v>1286.845583472797</v>
      </c>
      <c r="G34" s="125">
        <v>41.683520877292764</v>
      </c>
      <c r="H34" s="125">
        <v>86.630573913213041</v>
      </c>
      <c r="I34" s="125">
        <v>324.40451440642119</v>
      </c>
      <c r="J34" s="125">
        <v>1.4572421702412806</v>
      </c>
      <c r="K34" s="125">
        <v>31.147227001660632</v>
      </c>
      <c r="L34" s="125">
        <v>0.52842887611597544</v>
      </c>
      <c r="M34" s="125">
        <v>220.16923852919749</v>
      </c>
      <c r="N34" s="125">
        <v>4.528217621109933</v>
      </c>
      <c r="O34" s="125">
        <v>482.64650208790187</v>
      </c>
      <c r="P34" s="125">
        <v>1.8290613378261984</v>
      </c>
      <c r="Q34" s="125">
        <v>0.16325070645550599</v>
      </c>
      <c r="R34" s="125">
        <v>59.178358827247834</v>
      </c>
    </row>
    <row r="35" spans="2:18" ht="24.9" customHeight="1" x14ac:dyDescent="0.3">
      <c r="B35" s="52" t="s">
        <v>563</v>
      </c>
    </row>
  </sheetData>
  <mergeCells count="1">
    <mergeCell ref="B2:R2"/>
  </mergeCells>
  <phoneticPr fontId="11" type="noConversion"/>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81DCB-35D1-40CD-80D0-1645C79BDAE9}">
  <sheetPr codeName="Sheet5"/>
  <dimension ref="A1:U34"/>
  <sheetViews>
    <sheetView zoomScale="85" zoomScaleNormal="85" workbookViewId="0">
      <selection activeCell="G9" sqref="G9"/>
    </sheetView>
  </sheetViews>
  <sheetFormatPr defaultColWidth="9.109375" defaultRowHeight="24.9" customHeight="1" x14ac:dyDescent="0.25"/>
  <cols>
    <col min="1" max="1" width="6.6640625" style="1" customWidth="1"/>
    <col min="2" max="2" width="32" style="1" customWidth="1"/>
    <col min="3" max="4" width="9.5546875" style="5" bestFit="1" customWidth="1"/>
    <col min="5" max="5" width="9.44140625" style="5" bestFit="1" customWidth="1"/>
    <col min="6" max="7" width="10.5546875" style="5" bestFit="1" customWidth="1"/>
    <col min="8" max="8" width="9.44140625" style="5" bestFit="1" customWidth="1"/>
    <col min="9" max="9" width="9.5546875" style="5" bestFit="1" customWidth="1"/>
    <col min="10" max="20" width="9.44140625" style="5" bestFit="1" customWidth="1"/>
    <col min="21" max="21" width="9.33203125" style="5" bestFit="1" customWidth="1"/>
    <col min="22" max="16384" width="9.109375" style="1"/>
  </cols>
  <sheetData>
    <row r="1" spans="1:21" ht="13.2" x14ac:dyDescent="0.25"/>
    <row r="2" spans="1:21" ht="13.2" x14ac:dyDescent="0.25">
      <c r="B2" s="158" t="s">
        <v>1804</v>
      </c>
      <c r="C2" s="158"/>
      <c r="D2" s="158"/>
      <c r="E2" s="158"/>
      <c r="F2" s="158"/>
      <c r="G2" s="158"/>
      <c r="H2" s="158"/>
      <c r="I2" s="158"/>
      <c r="J2" s="158"/>
      <c r="K2" s="158"/>
      <c r="L2" s="158"/>
      <c r="M2" s="158"/>
      <c r="N2" s="158"/>
      <c r="O2" s="158"/>
      <c r="P2" s="158"/>
      <c r="Q2" s="158"/>
      <c r="R2" s="158"/>
      <c r="S2" s="158"/>
      <c r="T2" s="158"/>
      <c r="U2" s="158"/>
    </row>
    <row r="3" spans="1:21" ht="24.9" customHeight="1" thickBot="1" x14ac:dyDescent="0.3">
      <c r="B3" s="2" t="s">
        <v>1799</v>
      </c>
      <c r="C3" s="4"/>
      <c r="D3" s="4"/>
      <c r="E3" s="4"/>
      <c r="F3" s="4"/>
      <c r="G3" s="4"/>
      <c r="H3" s="4"/>
      <c r="I3" s="4"/>
      <c r="J3" s="4"/>
      <c r="K3" s="4"/>
      <c r="L3" s="4"/>
      <c r="M3" s="4"/>
      <c r="N3" s="4"/>
      <c r="O3" s="4"/>
      <c r="P3" s="4"/>
      <c r="Q3" s="4"/>
      <c r="R3" s="4"/>
      <c r="S3" s="4"/>
      <c r="T3" s="4"/>
      <c r="U3" s="4"/>
    </row>
    <row r="4" spans="1:21" ht="24.9" customHeight="1" x14ac:dyDescent="0.25">
      <c r="B4" s="114" t="s">
        <v>0</v>
      </c>
      <c r="C4" s="21" t="s">
        <v>25</v>
      </c>
      <c r="D4" s="21" t="s">
        <v>2</v>
      </c>
      <c r="E4" s="21" t="s">
        <v>3</v>
      </c>
      <c r="F4" s="21" t="s">
        <v>26</v>
      </c>
      <c r="G4" s="21" t="s">
        <v>4</v>
      </c>
      <c r="H4" s="21" t="s">
        <v>27</v>
      </c>
      <c r="I4" s="21" t="s">
        <v>28</v>
      </c>
      <c r="J4" s="21" t="s">
        <v>5</v>
      </c>
      <c r="K4" s="21" t="s">
        <v>29</v>
      </c>
      <c r="L4" s="21" t="s">
        <v>6</v>
      </c>
      <c r="M4" s="21" t="s">
        <v>30</v>
      </c>
      <c r="N4" s="21" t="s">
        <v>31</v>
      </c>
      <c r="O4" s="21" t="s">
        <v>32</v>
      </c>
      <c r="P4" s="21" t="s">
        <v>55</v>
      </c>
      <c r="Q4" s="21" t="s">
        <v>56</v>
      </c>
      <c r="R4" s="21" t="s">
        <v>57</v>
      </c>
      <c r="S4" s="21" t="s">
        <v>33</v>
      </c>
      <c r="T4" s="21" t="s">
        <v>34</v>
      </c>
      <c r="U4" s="21" t="s">
        <v>7</v>
      </c>
    </row>
    <row r="5" spans="1:21" ht="24.9" customHeight="1" x14ac:dyDescent="0.25">
      <c r="B5" s="10" t="s">
        <v>506</v>
      </c>
      <c r="C5" s="54">
        <v>4.2093299299708224</v>
      </c>
      <c r="D5" s="54">
        <v>0.13463054068699168</v>
      </c>
      <c r="E5" s="54">
        <v>7.6585318632223051E-2</v>
      </c>
      <c r="F5" s="54">
        <v>5.3004078365114333</v>
      </c>
      <c r="G5" s="54" t="s">
        <v>36</v>
      </c>
      <c r="H5" s="54">
        <v>0.12830578579765442</v>
      </c>
      <c r="I5" s="54">
        <v>1.2655537572999911</v>
      </c>
      <c r="J5" s="54">
        <v>1.8194158204977957E-2</v>
      </c>
      <c r="K5" s="54" t="s">
        <v>36</v>
      </c>
      <c r="L5" s="54">
        <v>2.8795942533016662E-3</v>
      </c>
      <c r="M5" s="54">
        <v>3.3476381191764479E-2</v>
      </c>
      <c r="N5" s="54">
        <v>7.791577298092019E-3</v>
      </c>
      <c r="O5" s="54">
        <v>0.64402017825351054</v>
      </c>
      <c r="P5" s="54">
        <v>3.9976393596539983E-2</v>
      </c>
      <c r="Q5" s="54">
        <v>4.0433190921141809E-2</v>
      </c>
      <c r="R5" s="54">
        <v>3.9458362673451333E-2</v>
      </c>
      <c r="S5" s="54">
        <v>2.5076086306488818E-3</v>
      </c>
      <c r="T5" s="54">
        <v>1.8751704504296161E-3</v>
      </c>
      <c r="U5" s="54">
        <v>0.11986794719113313</v>
      </c>
    </row>
    <row r="6" spans="1:21" ht="24.9" customHeight="1" x14ac:dyDescent="0.25">
      <c r="B6" s="10" t="s">
        <v>507</v>
      </c>
      <c r="C6" s="54">
        <v>4.9060452889876096</v>
      </c>
      <c r="D6" s="54">
        <v>0.21696450533893377</v>
      </c>
      <c r="E6" s="54">
        <v>0.10166158113214002</v>
      </c>
      <c r="F6" s="54">
        <v>5.6324898924228517</v>
      </c>
      <c r="G6" s="54">
        <v>0.18536242977331602</v>
      </c>
      <c r="H6" s="54">
        <v>0.79428902033654136</v>
      </c>
      <c r="I6" s="54">
        <v>1.6229763602210212</v>
      </c>
      <c r="J6" s="54">
        <v>7.4046591297018838E-3</v>
      </c>
      <c r="K6" s="54" t="s">
        <v>36</v>
      </c>
      <c r="L6" s="54">
        <v>5.8429102884536904E-3</v>
      </c>
      <c r="M6" s="54">
        <v>3.2963111687383903E-2</v>
      </c>
      <c r="N6" s="54">
        <v>2.5904070351165601E-3</v>
      </c>
      <c r="O6" s="54">
        <v>0.84595822444288538</v>
      </c>
      <c r="P6" s="54">
        <v>8.5647283726460841E-2</v>
      </c>
      <c r="Q6" s="54">
        <v>8.4364391997963417E-2</v>
      </c>
      <c r="R6" s="54">
        <v>8.2825087957911894E-2</v>
      </c>
      <c r="S6" s="54">
        <v>2.8699253229448607E-3</v>
      </c>
      <c r="T6" s="54">
        <v>8.2444852307207868E-4</v>
      </c>
      <c r="U6" s="54">
        <v>0.25283676368233615</v>
      </c>
    </row>
    <row r="7" spans="1:21" ht="24.9" customHeight="1" x14ac:dyDescent="0.25">
      <c r="B7" s="10" t="s">
        <v>508</v>
      </c>
      <c r="C7" s="54">
        <v>5.8211111397366597</v>
      </c>
      <c r="D7" s="54">
        <v>0.18062752624369666</v>
      </c>
      <c r="E7" s="54">
        <v>6.99613438359689E-2</v>
      </c>
      <c r="F7" s="54">
        <v>3.369576446602474</v>
      </c>
      <c r="G7" s="54" t="s">
        <v>36</v>
      </c>
      <c r="H7" s="54">
        <v>0.19742090293123596</v>
      </c>
      <c r="I7" s="54">
        <v>0.46817611992113206</v>
      </c>
      <c r="J7" s="54">
        <v>8.394279328764043E-3</v>
      </c>
      <c r="K7" s="54" t="s">
        <v>36</v>
      </c>
      <c r="L7" s="54">
        <v>2.4278166949720029E-3</v>
      </c>
      <c r="M7" s="54">
        <v>2.3156125017982879E-2</v>
      </c>
      <c r="N7" s="54">
        <v>1.3044418755122668E-4</v>
      </c>
      <c r="O7" s="54">
        <v>0.87407654896439191</v>
      </c>
      <c r="P7" s="54">
        <v>3.1021846087028584E-2</v>
      </c>
      <c r="Q7" s="54">
        <v>3.0148423393598342E-2</v>
      </c>
      <c r="R7" s="54">
        <v>2.9917258727576862E-2</v>
      </c>
      <c r="S7" s="54">
        <v>1.3087090922958521E-3</v>
      </c>
      <c r="T7" s="54">
        <v>9.3467903405798592E-4</v>
      </c>
      <c r="U7" s="54">
        <v>9.1087528208203775E-2</v>
      </c>
    </row>
    <row r="8" spans="1:21" ht="24.9" customHeight="1" x14ac:dyDescent="0.25">
      <c r="B8" s="10" t="s">
        <v>624</v>
      </c>
      <c r="C8" s="54">
        <v>8.0705584788424218</v>
      </c>
      <c r="D8" s="54">
        <v>0.12227696147118736</v>
      </c>
      <c r="E8" s="54">
        <v>9.4430520304685725E-2</v>
      </c>
      <c r="F8" s="54">
        <v>2.1186024098627483</v>
      </c>
      <c r="G8" s="54" t="s">
        <v>36</v>
      </c>
      <c r="H8" s="54">
        <v>0.85348662387610807</v>
      </c>
      <c r="I8" s="54">
        <v>0.60389309978302053</v>
      </c>
      <c r="J8" s="54">
        <v>1.0129676504464679E-2</v>
      </c>
      <c r="K8" s="54" t="s">
        <v>36</v>
      </c>
      <c r="L8" s="54">
        <v>3.2207334069683808E-3</v>
      </c>
      <c r="M8" s="54">
        <v>3.6694500708893796E-2</v>
      </c>
      <c r="N8" s="54">
        <v>1.9689938963774857E-3</v>
      </c>
      <c r="O8" s="54">
        <v>0.77242279531243552</v>
      </c>
      <c r="P8" s="54">
        <v>2.7397961085739567E-2</v>
      </c>
      <c r="Q8" s="54">
        <v>2.7784004436457913E-2</v>
      </c>
      <c r="R8" s="54">
        <v>2.7753195007285382E-2</v>
      </c>
      <c r="S8" s="54">
        <v>1.3026254486167581E-3</v>
      </c>
      <c r="T8" s="54">
        <v>8.3363743903841665E-4</v>
      </c>
      <c r="U8" s="54">
        <v>8.2935160529482868E-2</v>
      </c>
    </row>
    <row r="9" spans="1:21" ht="24.9" customHeight="1" x14ac:dyDescent="0.25">
      <c r="B9" s="10" t="s">
        <v>626</v>
      </c>
      <c r="C9" s="54">
        <v>7.7106438323236954</v>
      </c>
      <c r="D9" s="54">
        <v>0.19801410971639663</v>
      </c>
      <c r="E9" s="54">
        <v>0.1318888835413338</v>
      </c>
      <c r="F9" s="54">
        <v>2.9251043688710485</v>
      </c>
      <c r="G9" s="54" t="s">
        <v>36</v>
      </c>
      <c r="H9" s="54">
        <v>0.51302725852926279</v>
      </c>
      <c r="I9" s="54">
        <v>0.75966696269286582</v>
      </c>
      <c r="J9" s="54">
        <v>9.2447655101993344E-3</v>
      </c>
      <c r="K9" s="54" t="s">
        <v>36</v>
      </c>
      <c r="L9" s="54">
        <v>2.8181414641029086E-3</v>
      </c>
      <c r="M9" s="54">
        <v>3.4026149603691727E-2</v>
      </c>
      <c r="N9" s="54">
        <v>2.803267137326532E-3</v>
      </c>
      <c r="O9" s="54">
        <v>0.57145211741132451</v>
      </c>
      <c r="P9" s="54">
        <v>2.8521332295522971E-2</v>
      </c>
      <c r="Q9" s="54">
        <v>2.9092707776563559E-2</v>
      </c>
      <c r="R9" s="54">
        <v>2.8687285584903383E-2</v>
      </c>
      <c r="S9" s="54">
        <v>1.2100799253754963E-3</v>
      </c>
      <c r="T9" s="54">
        <v>5.4019919848723652E-4</v>
      </c>
      <c r="U9" s="54">
        <v>8.6301325656989905E-2</v>
      </c>
    </row>
    <row r="10" spans="1:21" ht="24.9" customHeight="1" x14ac:dyDescent="0.25">
      <c r="B10" s="10" t="s">
        <v>627</v>
      </c>
      <c r="C10" s="54">
        <v>10.075898322610783</v>
      </c>
      <c r="D10" s="54">
        <v>0.23830239503279962</v>
      </c>
      <c r="E10" s="54">
        <v>0.14729065748318132</v>
      </c>
      <c r="F10" s="54">
        <v>4.6948204623546621</v>
      </c>
      <c r="G10" s="54">
        <v>0.30031628412267236</v>
      </c>
      <c r="H10" s="54">
        <v>0.27939143185220383</v>
      </c>
      <c r="I10" s="54">
        <v>0.93456030731339945</v>
      </c>
      <c r="J10" s="54">
        <v>1.0854228623528188E-2</v>
      </c>
      <c r="K10" s="54" t="s">
        <v>36</v>
      </c>
      <c r="L10" s="54">
        <v>3.3070717835697754E-2</v>
      </c>
      <c r="M10" s="54">
        <v>4.3936672410793062E-2</v>
      </c>
      <c r="N10" s="54">
        <v>4.5417868928658463E-3</v>
      </c>
      <c r="O10" s="54">
        <v>0.7914248394204012</v>
      </c>
      <c r="P10" s="54">
        <v>8.7952436357127406E-2</v>
      </c>
      <c r="Q10" s="54">
        <v>8.8959052185742696E-2</v>
      </c>
      <c r="R10" s="54">
        <v>8.7146186651545027E-2</v>
      </c>
      <c r="S10" s="54">
        <v>1.5568733440312979E-3</v>
      </c>
      <c r="T10" s="54">
        <v>8.9209300853713546E-4</v>
      </c>
      <c r="U10" s="54">
        <v>0.26405767519441514</v>
      </c>
    </row>
    <row r="11" spans="1:21" ht="24.9" customHeight="1" x14ac:dyDescent="0.25">
      <c r="B11" s="10" t="s">
        <v>625</v>
      </c>
      <c r="C11" s="54">
        <v>56.842688838802907</v>
      </c>
      <c r="D11" s="54">
        <v>47.825490255775691</v>
      </c>
      <c r="E11" s="54">
        <v>49.210463330927539</v>
      </c>
      <c r="F11" s="54">
        <v>52.055030363920118</v>
      </c>
      <c r="G11" s="54">
        <v>49.071848527579206</v>
      </c>
      <c r="H11" s="54">
        <v>48.659479844495763</v>
      </c>
      <c r="I11" s="54">
        <v>50.959353266618358</v>
      </c>
      <c r="J11" s="54">
        <v>52.49110839643356</v>
      </c>
      <c r="K11" s="54">
        <v>56.698901003599701</v>
      </c>
      <c r="L11" s="54">
        <v>49.791385786162344</v>
      </c>
      <c r="M11" s="54">
        <v>47.501826890239812</v>
      </c>
      <c r="N11" s="54">
        <v>47.684129181338015</v>
      </c>
      <c r="O11" s="54">
        <v>48.297551777436652</v>
      </c>
      <c r="P11" s="54">
        <v>50.901963695860864</v>
      </c>
      <c r="Q11" s="54">
        <v>51.309579589144917</v>
      </c>
      <c r="R11" s="54">
        <v>50.560204712144163</v>
      </c>
      <c r="S11" s="54">
        <v>50.661003263359731</v>
      </c>
      <c r="T11" s="54">
        <v>51.354575852031182</v>
      </c>
      <c r="U11" s="54">
        <v>152.77174799714993</v>
      </c>
    </row>
    <row r="12" spans="1:21" ht="24.9" customHeight="1" x14ac:dyDescent="0.25">
      <c r="B12" s="10" t="s">
        <v>628</v>
      </c>
      <c r="C12" s="54">
        <v>57.381968066164454</v>
      </c>
      <c r="D12" s="54">
        <v>48.677611048195693</v>
      </c>
      <c r="E12" s="54">
        <v>50.014570161233536</v>
      </c>
      <c r="F12" s="54">
        <v>52.308722557486085</v>
      </c>
      <c r="G12" s="54">
        <v>49.444815489619465</v>
      </c>
      <c r="H12" s="54">
        <v>49.272369376420876</v>
      </c>
      <c r="I12" s="54">
        <v>51.585346530243804</v>
      </c>
      <c r="J12" s="54">
        <v>52.826352495445661</v>
      </c>
      <c r="K12" s="54">
        <v>56.320627246546202</v>
      </c>
      <c r="L12" s="54">
        <v>50.431739221336557</v>
      </c>
      <c r="M12" s="54">
        <v>47.088716708224325</v>
      </c>
      <c r="N12" s="54">
        <v>45.752952951439376</v>
      </c>
      <c r="O12" s="54">
        <v>48.926985951042937</v>
      </c>
      <c r="P12" s="54">
        <v>51.708895217668861</v>
      </c>
      <c r="Q12" s="54">
        <v>52.162115300061032</v>
      </c>
      <c r="R12" s="54">
        <v>51.175996425015349</v>
      </c>
      <c r="S12" s="54">
        <v>51.455406195548669</v>
      </c>
      <c r="T12" s="54">
        <v>51.876274488982482</v>
      </c>
      <c r="U12" s="54">
        <v>155.04700694274524</v>
      </c>
    </row>
    <row r="13" spans="1:21" ht="24.9" customHeight="1" x14ac:dyDescent="0.25">
      <c r="B13" s="13" t="s">
        <v>629</v>
      </c>
      <c r="C13" s="59">
        <v>52.405468348218847</v>
      </c>
      <c r="D13" s="59">
        <v>46.731484288480594</v>
      </c>
      <c r="E13" s="59">
        <v>47.726159827965716</v>
      </c>
      <c r="F13" s="59">
        <v>50.995820691952794</v>
      </c>
      <c r="G13" s="59">
        <v>48.006402169603966</v>
      </c>
      <c r="H13" s="59">
        <v>47.580635650294504</v>
      </c>
      <c r="I13" s="59">
        <v>50.7914136434797</v>
      </c>
      <c r="J13" s="59">
        <v>51.826688560963333</v>
      </c>
      <c r="K13" s="59">
        <v>54.883070495314932</v>
      </c>
      <c r="L13" s="59">
        <v>50.531585104477237</v>
      </c>
      <c r="M13" s="59">
        <v>45.951932913888378</v>
      </c>
      <c r="N13" s="59">
        <v>42.240335658675868</v>
      </c>
      <c r="O13" s="59">
        <v>48.776767123867266</v>
      </c>
      <c r="P13" s="59">
        <v>52.316111964730688</v>
      </c>
      <c r="Q13" s="59">
        <v>52.199000115913137</v>
      </c>
      <c r="R13" s="59">
        <v>51.375100463530941</v>
      </c>
      <c r="S13" s="59">
        <v>51.527303756035799</v>
      </c>
      <c r="T13" s="59">
        <v>52.18966111484724</v>
      </c>
      <c r="U13" s="59">
        <v>155.89021254417477</v>
      </c>
    </row>
    <row r="14" spans="1:21" ht="24.9" customHeight="1" x14ac:dyDescent="0.25">
      <c r="B14" s="86" t="s">
        <v>1849</v>
      </c>
    </row>
    <row r="15" spans="1:21" ht="24.9" customHeight="1" x14ac:dyDescent="0.25">
      <c r="A15" s="1" t="s">
        <v>512</v>
      </c>
    </row>
    <row r="16" spans="1:21" ht="24.9" customHeight="1" thickBot="1" x14ac:dyDescent="0.3">
      <c r="B16" s="2" t="s">
        <v>1800</v>
      </c>
      <c r="C16" s="4"/>
      <c r="D16" s="4"/>
      <c r="E16" s="4"/>
      <c r="F16" s="4"/>
      <c r="G16" s="4"/>
      <c r="H16" s="4"/>
      <c r="I16" s="4"/>
      <c r="J16" s="4"/>
      <c r="K16" s="4"/>
      <c r="L16" s="4"/>
      <c r="M16" s="4"/>
      <c r="N16" s="4"/>
      <c r="O16" s="4"/>
      <c r="P16" s="4"/>
      <c r="Q16" s="4"/>
      <c r="R16" s="4"/>
      <c r="S16" s="4"/>
      <c r="T16" s="4"/>
      <c r="U16" s="4"/>
    </row>
    <row r="17" spans="2:21" ht="24.9" customHeight="1" x14ac:dyDescent="0.25">
      <c r="B17" s="114" t="s">
        <v>0</v>
      </c>
      <c r="C17" s="21" t="s">
        <v>25</v>
      </c>
      <c r="D17" s="21" t="s">
        <v>2</v>
      </c>
      <c r="E17" s="21" t="s">
        <v>3</v>
      </c>
      <c r="F17" s="21" t="s">
        <v>26</v>
      </c>
      <c r="G17" s="21" t="s">
        <v>4</v>
      </c>
      <c r="H17" s="21" t="s">
        <v>27</v>
      </c>
      <c r="I17" s="21" t="s">
        <v>28</v>
      </c>
      <c r="J17" s="21" t="s">
        <v>5</v>
      </c>
      <c r="K17" s="21" t="s">
        <v>29</v>
      </c>
      <c r="L17" s="21" t="s">
        <v>6</v>
      </c>
      <c r="M17" s="21" t="s">
        <v>30</v>
      </c>
      <c r="N17" s="21" t="s">
        <v>31</v>
      </c>
      <c r="O17" s="21" t="s">
        <v>32</v>
      </c>
      <c r="P17" s="21" t="s">
        <v>55</v>
      </c>
      <c r="Q17" s="21" t="s">
        <v>56</v>
      </c>
      <c r="R17" s="21" t="s">
        <v>57</v>
      </c>
      <c r="S17" s="21" t="s">
        <v>33</v>
      </c>
      <c r="T17" s="21" t="s">
        <v>34</v>
      </c>
      <c r="U17" s="21" t="s">
        <v>7</v>
      </c>
    </row>
    <row r="18" spans="2:21" ht="24.9" customHeight="1" x14ac:dyDescent="0.25">
      <c r="B18" s="10" t="s">
        <v>509</v>
      </c>
      <c r="C18" s="54">
        <v>3.0917296926107243</v>
      </c>
      <c r="D18" s="54" t="s">
        <v>36</v>
      </c>
      <c r="E18" s="54">
        <v>1.1694439104575058E-2</v>
      </c>
      <c r="F18" s="54" t="s">
        <v>36</v>
      </c>
      <c r="G18" s="54" t="s">
        <v>36</v>
      </c>
      <c r="H18" s="54">
        <v>0.48014805418763085</v>
      </c>
      <c r="I18" s="54" t="s">
        <v>36</v>
      </c>
      <c r="J18" s="54">
        <v>-1.2013557166832816E-3</v>
      </c>
      <c r="K18" s="54" t="s">
        <v>36</v>
      </c>
      <c r="L18" s="54">
        <v>-4.9604033860740568E-4</v>
      </c>
      <c r="M18" s="54">
        <v>6.8292947431833756E-3</v>
      </c>
      <c r="N18" s="54">
        <v>-1.5351489438757827E-3</v>
      </c>
      <c r="O18" s="54" t="s">
        <v>36</v>
      </c>
      <c r="P18" s="54" t="s">
        <v>36</v>
      </c>
      <c r="Q18" s="54" t="s">
        <v>36</v>
      </c>
      <c r="R18" s="54" t="s">
        <v>36</v>
      </c>
      <c r="S18" s="54">
        <v>-9.2612223334644019E-4</v>
      </c>
      <c r="T18" s="54">
        <v>-3.777952301481436E-4</v>
      </c>
      <c r="U18" s="54" t="s">
        <v>36</v>
      </c>
    </row>
    <row r="19" spans="2:21" ht="24.9" customHeight="1" x14ac:dyDescent="0.25">
      <c r="B19" s="10" t="s">
        <v>510</v>
      </c>
      <c r="C19" s="54">
        <v>2.7318150460919979</v>
      </c>
      <c r="D19" s="54">
        <v>2.0606585626522594E-2</v>
      </c>
      <c r="E19" s="54">
        <v>4.9152802341223129E-2</v>
      </c>
      <c r="F19" s="54" t="s">
        <v>36</v>
      </c>
      <c r="G19" s="54" t="s">
        <v>36</v>
      </c>
      <c r="H19" s="54">
        <v>0.13968868884078556</v>
      </c>
      <c r="I19" s="54" t="s">
        <v>36</v>
      </c>
      <c r="J19" s="54">
        <v>-2.0862667109486262E-3</v>
      </c>
      <c r="K19" s="54" t="s">
        <v>36</v>
      </c>
      <c r="L19" s="54">
        <v>-8.9863228147287789E-4</v>
      </c>
      <c r="M19" s="54">
        <v>4.160943637981307E-3</v>
      </c>
      <c r="N19" s="54">
        <v>-7.0087570292673646E-4</v>
      </c>
      <c r="O19" s="54" t="s">
        <v>36</v>
      </c>
      <c r="P19" s="54" t="s">
        <v>36</v>
      </c>
      <c r="Q19" s="54" t="s">
        <v>36</v>
      </c>
      <c r="R19" s="54" t="s">
        <v>36</v>
      </c>
      <c r="S19" s="54">
        <v>-1.018667756587702E-3</v>
      </c>
      <c r="T19" s="54">
        <v>-6.7123347069932373E-4</v>
      </c>
      <c r="U19" s="54" t="s">
        <v>36</v>
      </c>
    </row>
    <row r="20" spans="2:21" ht="24.9" customHeight="1" x14ac:dyDescent="0.25">
      <c r="B20" s="10" t="s">
        <v>511</v>
      </c>
      <c r="C20" s="54">
        <v>5.0970695363790854</v>
      </c>
      <c r="D20" s="54">
        <v>6.0894870942925589E-2</v>
      </c>
      <c r="E20" s="54">
        <v>6.4554576283070653E-2</v>
      </c>
      <c r="F20" s="54" t="s">
        <v>36</v>
      </c>
      <c r="G20" s="54">
        <v>0.11495385434935634</v>
      </c>
      <c r="H20" s="54" t="s">
        <v>36</v>
      </c>
      <c r="I20" s="54" t="s">
        <v>36</v>
      </c>
      <c r="J20" s="54">
        <v>-4.7680359761977271E-4</v>
      </c>
      <c r="K20" s="54" t="s">
        <v>36</v>
      </c>
      <c r="L20" s="54">
        <v>2.9353944090121965E-2</v>
      </c>
      <c r="M20" s="54">
        <v>1.4071466445082642E-2</v>
      </c>
      <c r="N20" s="54">
        <v>1.0376440526125778E-3</v>
      </c>
      <c r="O20" s="54">
        <v>3.4065222001385953E-3</v>
      </c>
      <c r="P20" s="54">
        <v>3.5737261887117601E-2</v>
      </c>
      <c r="Q20" s="54">
        <v>3.7310383414841511E-2</v>
      </c>
      <c r="R20" s="54">
        <v>3.6412616865231666E-2</v>
      </c>
      <c r="S20" s="54">
        <v>-6.7187433793190038E-4</v>
      </c>
      <c r="T20" s="54">
        <v>-3.1933966064942479E-4</v>
      </c>
      <c r="U20" s="54">
        <v>0.10946026216719079</v>
      </c>
    </row>
    <row r="21" spans="2:21" ht="24.9" customHeight="1" x14ac:dyDescent="0.25">
      <c r="B21" s="10" t="s">
        <v>625</v>
      </c>
      <c r="C21" s="54">
        <v>51.863860052571212</v>
      </c>
      <c r="D21" s="54">
        <v>47.648082731685818</v>
      </c>
      <c r="E21" s="54">
        <v>49.127727249727428</v>
      </c>
      <c r="F21" s="54">
        <v>47.287538972074529</v>
      </c>
      <c r="G21" s="54">
        <v>48.886486097805893</v>
      </c>
      <c r="H21" s="54">
        <v>48.286141274807285</v>
      </c>
      <c r="I21" s="54">
        <v>49.840451187470975</v>
      </c>
      <c r="J21" s="54">
        <v>52.47977736421241</v>
      </c>
      <c r="K21" s="54">
        <v>56.698901003599701</v>
      </c>
      <c r="L21" s="54">
        <v>49.787669012416771</v>
      </c>
      <c r="M21" s="54">
        <v>47.471961684274099</v>
      </c>
      <c r="N21" s="54">
        <v>47.680625038497759</v>
      </c>
      <c r="O21" s="54">
        <v>47.509533460216389</v>
      </c>
      <c r="P21" s="54">
        <v>50.849748521390858</v>
      </c>
      <c r="Q21" s="54">
        <v>51.257930920374015</v>
      </c>
      <c r="R21" s="54">
        <v>50.509471142357853</v>
      </c>
      <c r="S21" s="54">
        <v>50.65877451567777</v>
      </c>
      <c r="T21" s="54">
        <v>51.353364419361995</v>
      </c>
      <c r="U21" s="54">
        <v>152.6171505841227</v>
      </c>
    </row>
    <row r="22" spans="2:21" ht="24.9" customHeight="1" x14ac:dyDescent="0.25">
      <c r="B22" s="10" t="s">
        <v>628</v>
      </c>
      <c r="C22" s="54">
        <v>52.403139279932759</v>
      </c>
      <c r="D22" s="54">
        <v>48.500203524105821</v>
      </c>
      <c r="E22" s="54">
        <v>49.931834080033425</v>
      </c>
      <c r="F22" s="54">
        <v>47.541231165640497</v>
      </c>
      <c r="G22" s="54">
        <v>49.259453059846152</v>
      </c>
      <c r="H22" s="54">
        <v>48.899030806732398</v>
      </c>
      <c r="I22" s="54">
        <v>50.466444451096422</v>
      </c>
      <c r="J22" s="54">
        <v>52.815021463224511</v>
      </c>
      <c r="K22" s="54">
        <v>56.320627246546202</v>
      </c>
      <c r="L22" s="54">
        <v>50.428022447590983</v>
      </c>
      <c r="M22" s="54">
        <v>47.058851502258612</v>
      </c>
      <c r="N22" s="54">
        <v>45.749448808599119</v>
      </c>
      <c r="O22" s="54">
        <v>48.138967633822674</v>
      </c>
      <c r="P22" s="54">
        <v>51.656680043198854</v>
      </c>
      <c r="Q22" s="54">
        <v>52.11046663129013</v>
      </c>
      <c r="R22" s="54">
        <v>51.125262855229039</v>
      </c>
      <c r="S22" s="54">
        <v>51.453177447866707</v>
      </c>
      <c r="T22" s="54">
        <v>51.875063056313294</v>
      </c>
      <c r="U22" s="54">
        <v>154.89240952971801</v>
      </c>
    </row>
    <row r="23" spans="2:21" ht="24.9" customHeight="1" x14ac:dyDescent="0.25">
      <c r="B23" s="13" t="s">
        <v>629</v>
      </c>
      <c r="C23" s="59">
        <v>47.426639561987152</v>
      </c>
      <c r="D23" s="59">
        <v>46.554076764390722</v>
      </c>
      <c r="E23" s="59">
        <v>47.643423746765606</v>
      </c>
      <c r="F23" s="59">
        <v>46.228329300107205</v>
      </c>
      <c r="G23" s="59">
        <v>47.821039739830653</v>
      </c>
      <c r="H23" s="59">
        <v>47.207297080606025</v>
      </c>
      <c r="I23" s="59">
        <v>49.672511564332318</v>
      </c>
      <c r="J23" s="59">
        <v>51.815357528742183</v>
      </c>
      <c r="K23" s="59">
        <v>54.883070495314932</v>
      </c>
      <c r="L23" s="59">
        <v>50.527868330731664</v>
      </c>
      <c r="M23" s="59">
        <v>45.922067707922665</v>
      </c>
      <c r="N23" s="59">
        <v>42.236831515835611</v>
      </c>
      <c r="O23" s="59">
        <v>47.988748806647003</v>
      </c>
      <c r="P23" s="59">
        <v>52.263896790260681</v>
      </c>
      <c r="Q23" s="59">
        <v>52.147351447142235</v>
      </c>
      <c r="R23" s="59">
        <v>51.324366893744632</v>
      </c>
      <c r="S23" s="59">
        <v>51.525075008353838</v>
      </c>
      <c r="T23" s="59">
        <v>52.188449682178053</v>
      </c>
      <c r="U23" s="59">
        <v>155.73561513114754</v>
      </c>
    </row>
    <row r="24" spans="2:21" ht="24.9" customHeight="1" x14ac:dyDescent="0.25">
      <c r="B24" s="86" t="s">
        <v>1850</v>
      </c>
    </row>
    <row r="26" spans="2:21" ht="24.9" customHeight="1" thickBot="1" x14ac:dyDescent="0.3">
      <c r="B26" s="2" t="s">
        <v>1801</v>
      </c>
      <c r="C26" s="4"/>
      <c r="D26" s="4"/>
      <c r="E26" s="4"/>
      <c r="F26" s="4"/>
      <c r="G26" s="4"/>
      <c r="H26" s="4"/>
      <c r="I26" s="4"/>
      <c r="J26" s="4"/>
      <c r="K26" s="4"/>
      <c r="L26" s="4"/>
      <c r="M26" s="4"/>
      <c r="N26" s="4"/>
      <c r="O26" s="4"/>
      <c r="P26" s="4"/>
      <c r="Q26" s="4"/>
      <c r="R26" s="4"/>
      <c r="S26" s="4"/>
      <c r="T26" s="4"/>
      <c r="U26" s="4"/>
    </row>
    <row r="27" spans="2:21" ht="24.9" customHeight="1" x14ac:dyDescent="0.25">
      <c r="B27" s="114" t="s">
        <v>0</v>
      </c>
      <c r="C27" s="21" t="s">
        <v>25</v>
      </c>
      <c r="D27" s="21" t="s">
        <v>2</v>
      </c>
      <c r="E27" s="21" t="s">
        <v>3</v>
      </c>
      <c r="F27" s="21" t="s">
        <v>26</v>
      </c>
      <c r="G27" s="21" t="s">
        <v>4</v>
      </c>
      <c r="H27" s="21" t="s">
        <v>27</v>
      </c>
      <c r="I27" s="21" t="s">
        <v>28</v>
      </c>
      <c r="J27" s="21" t="s">
        <v>5</v>
      </c>
      <c r="K27" s="21" t="s">
        <v>29</v>
      </c>
      <c r="L27" s="21" t="s">
        <v>6</v>
      </c>
      <c r="M27" s="21" t="s">
        <v>30</v>
      </c>
      <c r="N27" s="21" t="s">
        <v>31</v>
      </c>
      <c r="O27" s="21" t="s">
        <v>32</v>
      </c>
      <c r="P27" s="21" t="s">
        <v>55</v>
      </c>
      <c r="Q27" s="21" t="s">
        <v>56</v>
      </c>
      <c r="R27" s="21" t="s">
        <v>57</v>
      </c>
      <c r="S27" s="21" t="s">
        <v>33</v>
      </c>
      <c r="T27" s="21" t="s">
        <v>34</v>
      </c>
      <c r="U27" s="21" t="s">
        <v>7</v>
      </c>
    </row>
    <row r="28" spans="2:21" ht="24.9" customHeight="1" x14ac:dyDescent="0.25">
      <c r="B28" s="10" t="s">
        <v>625</v>
      </c>
      <c r="C28" s="45">
        <v>96.447310588421217</v>
      </c>
      <c r="D28" s="45">
        <v>95.278584867404462</v>
      </c>
      <c r="E28" s="45">
        <v>98.171853287635614</v>
      </c>
      <c r="F28" s="45">
        <v>94.575077944149058</v>
      </c>
      <c r="G28" s="45">
        <v>97.772972195611786</v>
      </c>
      <c r="H28" s="45">
        <v>96.221689479486471</v>
      </c>
      <c r="I28" s="45">
        <v>99.680902374941951</v>
      </c>
      <c r="J28" s="45">
        <v>104.95955472842482</v>
      </c>
      <c r="K28" s="45">
        <v>113.3978020071994</v>
      </c>
      <c r="L28" s="45">
        <v>99.556698510520178</v>
      </c>
      <c r="M28" s="45">
        <v>94.943923368548198</v>
      </c>
      <c r="N28" s="45">
        <v>95.361250076995518</v>
      </c>
      <c r="O28" s="45">
        <v>95.019066920432778</v>
      </c>
      <c r="P28" s="45">
        <v>101.69949704278172</v>
      </c>
      <c r="Q28" s="45">
        <v>102.51586184074803</v>
      </c>
      <c r="R28" s="45">
        <v>101.01894228471571</v>
      </c>
      <c r="S28" s="45">
        <v>101.31754903135555</v>
      </c>
      <c r="T28" s="45">
        <v>102.70672883872398</v>
      </c>
      <c r="U28" s="45">
        <v>101.7447670560818</v>
      </c>
    </row>
    <row r="29" spans="2:21" ht="24.9" customHeight="1" x14ac:dyDescent="0.25">
      <c r="B29" s="10" t="s">
        <v>628</v>
      </c>
      <c r="C29" s="45">
        <v>97.525869043144311</v>
      </c>
      <c r="D29" s="45">
        <v>96.982826452244467</v>
      </c>
      <c r="E29" s="45">
        <v>99.780066948247608</v>
      </c>
      <c r="F29" s="45">
        <v>95.082462331280993</v>
      </c>
      <c r="G29" s="45">
        <v>98.518906119692303</v>
      </c>
      <c r="H29" s="45">
        <v>97.447468543336697</v>
      </c>
      <c r="I29" s="45">
        <v>100.93288890219286</v>
      </c>
      <c r="J29" s="45">
        <v>105.63004292644902</v>
      </c>
      <c r="K29" s="45">
        <v>112.64125449309242</v>
      </c>
      <c r="L29" s="45">
        <v>100.8374053808686</v>
      </c>
      <c r="M29" s="45">
        <v>94.117703004517224</v>
      </c>
      <c r="N29" s="45">
        <v>91.498897617198239</v>
      </c>
      <c r="O29" s="45">
        <v>96.277935267645347</v>
      </c>
      <c r="P29" s="45">
        <v>103.31336008639771</v>
      </c>
      <c r="Q29" s="45">
        <v>104.22093326258026</v>
      </c>
      <c r="R29" s="45">
        <v>102.25052571045808</v>
      </c>
      <c r="S29" s="45">
        <v>102.90635489573341</v>
      </c>
      <c r="T29" s="45">
        <v>103.75012611262659</v>
      </c>
      <c r="U29" s="45">
        <v>103.26160635314534</v>
      </c>
    </row>
    <row r="30" spans="2:21" ht="24.9" customHeight="1" x14ac:dyDescent="0.25">
      <c r="B30" s="10" t="s">
        <v>629</v>
      </c>
      <c r="C30" s="45">
        <v>87.572869607253097</v>
      </c>
      <c r="D30" s="45">
        <v>93.090572932814268</v>
      </c>
      <c r="E30" s="45">
        <v>95.203246281711969</v>
      </c>
      <c r="F30" s="45">
        <v>92.456658600214411</v>
      </c>
      <c r="G30" s="45">
        <v>95.642079479661305</v>
      </c>
      <c r="H30" s="45">
        <v>94.064001091083952</v>
      </c>
      <c r="I30" s="45">
        <v>99.345023128664636</v>
      </c>
      <c r="J30" s="45">
        <v>103.63071505748435</v>
      </c>
      <c r="K30" s="45">
        <v>109.76614099062986</v>
      </c>
      <c r="L30" s="45">
        <v>101.03709714714996</v>
      </c>
      <c r="M30" s="45">
        <v>91.844135415845329</v>
      </c>
      <c r="N30" s="45">
        <v>84.473663031671222</v>
      </c>
      <c r="O30" s="45">
        <v>95.977497613294005</v>
      </c>
      <c r="P30" s="45">
        <v>104.52779358052136</v>
      </c>
      <c r="Q30" s="45">
        <v>104.29470289428447</v>
      </c>
      <c r="R30" s="45">
        <v>102.64873378748926</v>
      </c>
      <c r="S30" s="45">
        <v>103.05015001670768</v>
      </c>
      <c r="T30" s="45">
        <v>104.37689936435611</v>
      </c>
      <c r="U30" s="45">
        <v>103.82374342076504</v>
      </c>
    </row>
    <row r="31" spans="2:21" ht="24.9" customHeight="1" x14ac:dyDescent="0.25">
      <c r="B31" s="105" t="s">
        <v>643</v>
      </c>
      <c r="C31" s="115">
        <v>93.848683079606204</v>
      </c>
      <c r="D31" s="115">
        <v>95.117328084154394</v>
      </c>
      <c r="E31" s="115">
        <v>97.718388839198397</v>
      </c>
      <c r="F31" s="115">
        <v>94.038066291881478</v>
      </c>
      <c r="G31" s="115">
        <v>97.31131926498847</v>
      </c>
      <c r="H31" s="115">
        <v>95.911053037969054</v>
      </c>
      <c r="I31" s="115">
        <v>99.98627146859981</v>
      </c>
      <c r="J31" s="115">
        <v>104.74010423745273</v>
      </c>
      <c r="K31" s="115">
        <v>111.93506583030722</v>
      </c>
      <c r="L31" s="115">
        <v>100.47706701284625</v>
      </c>
      <c r="M31" s="115">
        <v>93.635253929636917</v>
      </c>
      <c r="N31" s="115">
        <v>90.444603575288326</v>
      </c>
      <c r="O31" s="115">
        <v>95.758166600457386</v>
      </c>
      <c r="P31" s="115">
        <v>103.1802169032336</v>
      </c>
      <c r="Q31" s="115">
        <v>103.67716599920425</v>
      </c>
      <c r="R31" s="115">
        <v>101.97273392755436</v>
      </c>
      <c r="S31" s="115">
        <v>102.42468464793221</v>
      </c>
      <c r="T31" s="115">
        <v>103.6112514385689</v>
      </c>
      <c r="U31" s="115">
        <v>102.94337227666405</v>
      </c>
    </row>
    <row r="32" spans="2:21" ht="24.9" customHeight="1" x14ac:dyDescent="0.25">
      <c r="B32" s="104" t="s">
        <v>644</v>
      </c>
      <c r="C32" s="116">
        <v>5.4617028608200835</v>
      </c>
      <c r="D32" s="116">
        <v>1.9511309995710975</v>
      </c>
      <c r="E32" s="116">
        <v>2.3218622607519777</v>
      </c>
      <c r="F32" s="116">
        <v>1.3928379103557442</v>
      </c>
      <c r="G32" s="116">
        <v>1.4929418777912409</v>
      </c>
      <c r="H32" s="116">
        <v>1.7129898567161395</v>
      </c>
      <c r="I32" s="116">
        <v>0.83681965871187758</v>
      </c>
      <c r="J32" s="116">
        <v>1.0175690985852608</v>
      </c>
      <c r="K32" s="116">
        <v>1.9160551284872973</v>
      </c>
      <c r="L32" s="116">
        <v>0.80329187437418581</v>
      </c>
      <c r="M32" s="116">
        <v>1.6052224675477567</v>
      </c>
      <c r="N32" s="116">
        <v>5.5198315067113608</v>
      </c>
      <c r="O32" s="116">
        <v>0.65747011247461484</v>
      </c>
      <c r="P32" s="116">
        <v>1.4188413078159312</v>
      </c>
      <c r="Q32" s="116">
        <v>1.006395052142165</v>
      </c>
      <c r="R32" s="116">
        <v>0.84966539979855993</v>
      </c>
      <c r="S32" s="116">
        <v>0.96149946142649378</v>
      </c>
      <c r="T32" s="116">
        <v>0.84370138526231586</v>
      </c>
      <c r="U32" s="116">
        <v>1.0754024255148895</v>
      </c>
    </row>
    <row r="33" spans="2:2" ht="24.9" customHeight="1" x14ac:dyDescent="0.25">
      <c r="B33" s="86" t="s">
        <v>1850</v>
      </c>
    </row>
    <row r="34" spans="2:2" ht="24.9" customHeight="1" x14ac:dyDescent="0.25">
      <c r="B34" s="83"/>
    </row>
  </sheetData>
  <mergeCells count="1">
    <mergeCell ref="B2:U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Table of Contents</vt:lpstr>
      <vt:lpstr>Table S1</vt:lpstr>
      <vt:lpstr>Table S2</vt:lpstr>
      <vt:lpstr>Table S3</vt:lpstr>
      <vt:lpstr>Table S4</vt:lpstr>
      <vt:lpstr>Tables S5</vt:lpstr>
      <vt:lpstr>Table S6</vt:lpstr>
      <vt:lpstr>Table S7</vt:lpstr>
      <vt:lpstr>Table S8</vt:lpstr>
      <vt:lpstr>Table S9</vt:lpstr>
      <vt:lpstr>Table S10</vt:lpstr>
      <vt:lpstr>Table S11</vt:lpstr>
      <vt:lpstr>Table S12</vt:lpstr>
      <vt:lpstr>Table S13</vt:lpstr>
      <vt:lpstr>Table S14</vt:lpstr>
      <vt:lpstr>Table S15</vt:lpstr>
      <vt:lpstr>Table S16</vt:lpstr>
      <vt:lpstr>Table S17</vt:lpstr>
      <vt:lpstr>Table S18</vt:lpstr>
      <vt:lpstr>Table S19</vt:lpstr>
      <vt:lpstr>Table S20</vt:lpstr>
      <vt:lpstr>Table S21</vt:lpstr>
      <vt:lpstr>Table S22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Salazar</dc:creator>
  <cp:lastModifiedBy>Porath, Cynthia</cp:lastModifiedBy>
  <dcterms:created xsi:type="dcterms:W3CDTF">2024-06-27T22:17:14Z</dcterms:created>
  <dcterms:modified xsi:type="dcterms:W3CDTF">2025-06-16T18:35:28Z</dcterms:modified>
</cp:coreProperties>
</file>